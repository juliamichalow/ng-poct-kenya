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jhm21_ic_ac_uk/Documents/Analysis/Objective 4/Model/ng-kenya/R/"/>
    </mc:Choice>
  </mc:AlternateContent>
  <xr:revisionPtr revIDLastSave="369" documentId="8_{C29908BA-A937-4A79-9434-E005B48FB67A}" xr6:coauthVersionLast="47" xr6:coauthVersionMax="47" xr10:uidLastSave="{667A0759-7343-4E96-8010-1A9D121116A5}"/>
  <bookViews>
    <workbookView xWindow="8880" yWindow="2700" windowWidth="28710" windowHeight="15375" xr2:uid="{5F670809-FC3F-46A6-B028-5166DB13C744}"/>
  </bookViews>
  <sheets>
    <sheet name="qa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22" i="1"/>
  <c r="D26" i="1"/>
</calcChain>
</file>

<file path=xl/sharedStrings.xml><?xml version="1.0" encoding="utf-8"?>
<sst xmlns="http://schemas.openxmlformats.org/spreadsheetml/2006/main" count="141" uniqueCount="105">
  <si>
    <t>definition</t>
  </si>
  <si>
    <t>mean</t>
  </si>
  <si>
    <t>lwr</t>
  </si>
  <si>
    <t>upr</t>
  </si>
  <si>
    <t>pid_annual</t>
  </si>
  <si>
    <t>Annual rate of PID given infection</t>
  </si>
  <si>
    <t>prob_cpp</t>
  </si>
  <si>
    <t>Probability of CPP given PID</t>
  </si>
  <si>
    <t>prob_tfi</t>
  </si>
  <si>
    <t>Probability of TFI given PID</t>
  </si>
  <si>
    <t>prob_ep</t>
  </si>
  <si>
    <t>Probability of EP given PID</t>
  </si>
  <si>
    <t>Probability of urethritis given symptomatic infection</t>
  </si>
  <si>
    <t>Probability of urethritis given asymptomatic infection</t>
  </si>
  <si>
    <t>prob_eds_untreat</t>
  </si>
  <si>
    <t>Probability of EDS given untreated infection</t>
  </si>
  <si>
    <t>prob_eds_treat</t>
  </si>
  <si>
    <t>Probability of EDS given treated infection</t>
  </si>
  <si>
    <t>dur_pid</t>
  </si>
  <si>
    <t>dur_cpp</t>
  </si>
  <si>
    <t>dur_tfi</t>
  </si>
  <si>
    <t>dur_ep</t>
  </si>
  <si>
    <t>dur_eds</t>
  </si>
  <si>
    <t>util_ng_f_symp</t>
  </si>
  <si>
    <t>Utility of symptomatic gonorrrhea, women</t>
  </si>
  <si>
    <t>util_ng_m_symp</t>
  </si>
  <si>
    <t>Utility of symptomatic gonorrrhea urethral infection, men</t>
  </si>
  <si>
    <t>util_ng_asymp</t>
  </si>
  <si>
    <t>Utility of asymptomatic infection, women and men</t>
  </si>
  <si>
    <t>util_pid</t>
  </si>
  <si>
    <t>Utility of PID</t>
  </si>
  <si>
    <t>util_cpp</t>
  </si>
  <si>
    <t>Utility of CPP</t>
  </si>
  <si>
    <t>util_tfi</t>
  </si>
  <si>
    <t>Utility of TFI</t>
  </si>
  <si>
    <t>util_ep</t>
  </si>
  <si>
    <t>Utility of EP</t>
  </si>
  <si>
    <t>util_eds</t>
  </si>
  <si>
    <t>Utility of EDS</t>
  </si>
  <si>
    <t>Duration (years) of PID</t>
  </si>
  <si>
    <t>Duration (years) of CPP</t>
  </si>
  <si>
    <t>Duration (years) of TFI</t>
  </si>
  <si>
    <t>Duration (years) of EP</t>
  </si>
  <si>
    <t>Duration (years) of EDS</t>
  </si>
  <si>
    <t>inf</t>
  </si>
  <si>
    <t>symp</t>
  </si>
  <si>
    <t>asymp</t>
  </si>
  <si>
    <t>param_full</t>
  </si>
  <si>
    <t>prob_urth_symp</t>
  </si>
  <si>
    <t>prob_urth_asymp</t>
  </si>
  <si>
    <t>r</t>
  </si>
  <si>
    <t>t</t>
  </si>
  <si>
    <t>Probability of stillbith given live birth with untreated infection</t>
  </si>
  <si>
    <t>Probability of LBW given live birth with untreated infection</t>
  </si>
  <si>
    <t>Probability of neonatal conjunctivitis given live birth with untreated infection</t>
  </si>
  <si>
    <t>Probability of neonatal penumonia given live birth with untreated infection</t>
  </si>
  <si>
    <t>Utility of stillbirth for newborn</t>
  </si>
  <si>
    <t>Duration (years) of stillbirth for newborn</t>
  </si>
  <si>
    <t>Duration (years) of LBW for newborn</t>
  </si>
  <si>
    <t>Duration (years) of stillbirth for mother</t>
  </si>
  <si>
    <t>Utility of LBW for newborn</t>
  </si>
  <si>
    <t>Utility of neonatal conjunctivtis for newborn</t>
  </si>
  <si>
    <t>Utility of stillbirth for mother</t>
  </si>
  <si>
    <t>Utility of LBW for mother</t>
  </si>
  <si>
    <t>Utility of neonatal conjunctivtis for mother</t>
  </si>
  <si>
    <t>Utility of neonatal penumonia for mother</t>
  </si>
  <si>
    <t>Utility of neonatal pneumonia for newborn</t>
  </si>
  <si>
    <t>Duration (years) of LBW for mother</t>
  </si>
  <si>
    <t>Duration (years) of neonatal conjunctivitis for newborn</t>
  </si>
  <si>
    <t>Duration (years) of neonatal penumonia for newborn</t>
  </si>
  <si>
    <t>Duration (years) of neonatal conjunctivitis for mother</t>
  </si>
  <si>
    <t>Duration (years) of neonatal penumonia for mother</t>
  </si>
  <si>
    <t>Discount rate for long term conditions (expressed as 1 + rate)</t>
  </si>
  <si>
    <t>Time delay until chronic condition (EP and CPP) onset (years)</t>
  </si>
  <si>
    <t>source</t>
  </si>
  <si>
    <t>Li 2023</t>
  </si>
  <si>
    <t>Calculated from Valleley 2021 with method in Nyemba 2025</t>
  </si>
  <si>
    <t>Ong 2015, Schachter 1986</t>
  </si>
  <si>
    <t>IOM 2000</t>
  </si>
  <si>
    <t>Camacho 2024</t>
  </si>
  <si>
    <t>Assumption</t>
  </si>
  <si>
    <t>Assumption to match newborn</t>
  </si>
  <si>
    <t>Death</t>
  </si>
  <si>
    <t>prob_still</t>
  </si>
  <si>
    <t>prob_lbw</t>
  </si>
  <si>
    <t>prob_conj</t>
  </si>
  <si>
    <t>prob_pneu</t>
  </si>
  <si>
    <t>dur_n_still</t>
  </si>
  <si>
    <t>dur_n_lbw</t>
  </si>
  <si>
    <t>dur_n_conj</t>
  </si>
  <si>
    <t>dur_n_pneu</t>
  </si>
  <si>
    <t>dur_f_still</t>
  </si>
  <si>
    <t>dur_f_lbw</t>
  </si>
  <si>
    <t>dur_f_conj</t>
  </si>
  <si>
    <t>dur_f_pneu</t>
  </si>
  <si>
    <t>util_n_still</t>
  </si>
  <si>
    <t>util_n_lbw</t>
  </si>
  <si>
    <t>util_n_conj</t>
  </si>
  <si>
    <t>util_n_pneu</t>
  </si>
  <si>
    <t>util_f_still</t>
  </si>
  <si>
    <t>util_f_lbw</t>
  </si>
  <si>
    <t>util_f_conj</t>
  </si>
  <si>
    <t>util_f_pneu</t>
  </si>
  <si>
    <t>UN WPP life expectancy at birth</t>
  </si>
  <si>
    <t>GBD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</si>
</sst>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B995-49BE-4C37-92C1-EED5BB9FDD24}">
  <dimension ref="A1:H44"/>
  <sheetViews>
    <sheetView tabSelected="1" topLeftCell="A17" workbookViewId="0">
      <selection activeCell="D43" sqref="D43"/>
    </sheetView>
  </sheetViews>
  <sheetFormatPr defaultRowHeight="15" x14ac:dyDescent="0.25"/>
  <cols>
    <col min="1" max="1" width="62.28515625" style="4" bestFit="1" customWidth="1"/>
    <col min="2" max="2" width="16.85546875" customWidth="1"/>
    <col min="3" max="3" width="9.140625" style="4" customWidth="1"/>
    <col min="4" max="4" width="8.7109375" style="5"/>
  </cols>
  <sheetData>
    <row r="1" spans="1:7" x14ac:dyDescent="0.25">
      <c r="A1" s="1" t="s">
        <v>0</v>
      </c>
      <c r="B1" s="1" t="s">
        <v>47</v>
      </c>
      <c r="C1" s="1" t="s">
        <v>44</v>
      </c>
      <c r="D1" s="2" t="s">
        <v>1</v>
      </c>
      <c r="E1" s="3" t="s">
        <v>2</v>
      </c>
      <c r="F1" s="3" t="s">
        <v>3</v>
      </c>
      <c r="G1" s="3" t="s">
        <v>74</v>
      </c>
    </row>
    <row r="2" spans="1:7" x14ac:dyDescent="0.25">
      <c r="A2" s="4" t="s">
        <v>5</v>
      </c>
      <c r="B2" t="s">
        <v>4</v>
      </c>
      <c r="D2" s="5">
        <v>0.15</v>
      </c>
      <c r="E2">
        <v>6.5000000000000002E-2</v>
      </c>
      <c r="F2">
        <v>0.26</v>
      </c>
      <c r="G2" t="s">
        <v>75</v>
      </c>
    </row>
    <row r="3" spans="1:7" x14ac:dyDescent="0.25">
      <c r="A3" s="4" t="s">
        <v>7</v>
      </c>
      <c r="B3" t="s">
        <v>6</v>
      </c>
      <c r="D3" s="5">
        <v>0.26100000000000001</v>
      </c>
      <c r="E3">
        <v>0.22900000000000001</v>
      </c>
      <c r="F3">
        <v>0.29499999999999998</v>
      </c>
      <c r="G3" t="s">
        <v>75</v>
      </c>
    </row>
    <row r="4" spans="1:7" x14ac:dyDescent="0.25">
      <c r="A4" s="4" t="s">
        <v>9</v>
      </c>
      <c r="B4" t="s">
        <v>8</v>
      </c>
      <c r="D4" s="5">
        <v>0.16800000000000001</v>
      </c>
      <c r="E4">
        <v>0.114</v>
      </c>
      <c r="F4">
        <v>0.22900000000000001</v>
      </c>
      <c r="G4" t="s">
        <v>75</v>
      </c>
    </row>
    <row r="5" spans="1:7" x14ac:dyDescent="0.25">
      <c r="A5" s="4" t="s">
        <v>11</v>
      </c>
      <c r="B5" t="s">
        <v>10</v>
      </c>
      <c r="D5" s="5">
        <v>7.0000000000000007E-2</v>
      </c>
      <c r="E5">
        <v>4.8000000000000001E-2</v>
      </c>
      <c r="F5">
        <v>9.8000000000000004E-2</v>
      </c>
      <c r="G5" t="s">
        <v>75</v>
      </c>
    </row>
    <row r="6" spans="1:7" x14ac:dyDescent="0.25">
      <c r="A6" s="4" t="s">
        <v>12</v>
      </c>
      <c r="B6" t="s">
        <v>48</v>
      </c>
      <c r="C6" s="4" t="s">
        <v>45</v>
      </c>
      <c r="D6" s="5">
        <v>1</v>
      </c>
      <c r="G6" t="s">
        <v>75</v>
      </c>
    </row>
    <row r="7" spans="1:7" x14ac:dyDescent="0.25">
      <c r="A7" s="4" t="s">
        <v>13</v>
      </c>
      <c r="B7" t="s">
        <v>49</v>
      </c>
      <c r="C7" s="4" t="s">
        <v>46</v>
      </c>
      <c r="D7" s="5">
        <v>0</v>
      </c>
      <c r="G7" t="s">
        <v>75</v>
      </c>
    </row>
    <row r="8" spans="1:7" x14ac:dyDescent="0.25">
      <c r="A8" s="4" t="s">
        <v>15</v>
      </c>
      <c r="B8" t="s">
        <v>14</v>
      </c>
      <c r="D8" s="5">
        <v>4.2999999999999997E-2</v>
      </c>
      <c r="E8">
        <v>1E-3</v>
      </c>
      <c r="F8">
        <v>0.16</v>
      </c>
      <c r="G8" t="s">
        <v>75</v>
      </c>
    </row>
    <row r="9" spans="1:7" x14ac:dyDescent="0.25">
      <c r="A9" s="4" t="s">
        <v>17</v>
      </c>
      <c r="B9" t="s">
        <v>16</v>
      </c>
      <c r="D9" s="5">
        <v>0</v>
      </c>
      <c r="G9" t="s">
        <v>75</v>
      </c>
    </row>
    <row r="10" spans="1:7" x14ac:dyDescent="0.25">
      <c r="A10" s="4" t="s">
        <v>52</v>
      </c>
      <c r="B10" t="s">
        <v>83</v>
      </c>
      <c r="D10" s="5">
        <v>4.7E-2</v>
      </c>
      <c r="G10" t="s">
        <v>76</v>
      </c>
    </row>
    <row r="11" spans="1:7" x14ac:dyDescent="0.25">
      <c r="A11" s="4" t="s">
        <v>53</v>
      </c>
      <c r="B11" t="s">
        <v>84</v>
      </c>
      <c r="D11" s="5">
        <v>0.17599999999999999</v>
      </c>
      <c r="G11" t="s">
        <v>76</v>
      </c>
    </row>
    <row r="12" spans="1:7" x14ac:dyDescent="0.25">
      <c r="A12" s="4" t="s">
        <v>54</v>
      </c>
      <c r="B12" t="s">
        <v>85</v>
      </c>
      <c r="D12" s="5">
        <v>0.18</v>
      </c>
      <c r="G12" t="s">
        <v>77</v>
      </c>
    </row>
    <row r="13" spans="1:7" x14ac:dyDescent="0.25">
      <c r="A13" s="4" t="s">
        <v>55</v>
      </c>
      <c r="B13" t="s">
        <v>86</v>
      </c>
      <c r="D13" s="5">
        <v>0.16</v>
      </c>
      <c r="G13" t="s">
        <v>77</v>
      </c>
    </row>
    <row r="14" spans="1:7" x14ac:dyDescent="0.25">
      <c r="A14" s="4" t="s">
        <v>39</v>
      </c>
      <c r="B14" t="s">
        <v>18</v>
      </c>
      <c r="D14" s="5">
        <v>2.8000000000000001E-2</v>
      </c>
      <c r="E14">
        <v>1.7999999999999999E-2</v>
      </c>
      <c r="F14">
        <v>4.1000000000000002E-2</v>
      </c>
      <c r="G14" t="s">
        <v>75</v>
      </c>
    </row>
    <row r="15" spans="1:7" x14ac:dyDescent="0.25">
      <c r="A15" s="4" t="s">
        <v>40</v>
      </c>
      <c r="B15" t="s">
        <v>19</v>
      </c>
      <c r="D15" s="5">
        <v>10</v>
      </c>
      <c r="E15">
        <v>5</v>
      </c>
      <c r="F15">
        <v>10</v>
      </c>
      <c r="G15" t="s">
        <v>75</v>
      </c>
    </row>
    <row r="16" spans="1:7" x14ac:dyDescent="0.25">
      <c r="A16" s="4" t="s">
        <v>41</v>
      </c>
      <c r="B16" t="s">
        <v>20</v>
      </c>
      <c r="D16" s="5">
        <v>10</v>
      </c>
      <c r="E16">
        <v>5</v>
      </c>
      <c r="F16">
        <v>10</v>
      </c>
      <c r="G16" t="s">
        <v>75</v>
      </c>
    </row>
    <row r="17" spans="1:8" x14ac:dyDescent="0.25">
      <c r="A17" s="4" t="s">
        <v>42</v>
      </c>
      <c r="B17" t="s">
        <v>21</v>
      </c>
      <c r="D17" s="5">
        <v>7.8E-2</v>
      </c>
      <c r="E17">
        <v>5.0999999999999997E-2</v>
      </c>
      <c r="F17">
        <v>0.113</v>
      </c>
      <c r="G17" t="s">
        <v>75</v>
      </c>
    </row>
    <row r="18" spans="1:8" x14ac:dyDescent="0.25">
      <c r="A18" s="4" t="s">
        <v>43</v>
      </c>
      <c r="B18" t="s">
        <v>22</v>
      </c>
      <c r="D18" s="5">
        <v>1.9E-2</v>
      </c>
      <c r="E18">
        <v>1.2999999999999999E-2</v>
      </c>
      <c r="F18">
        <v>2.8000000000000001E-2</v>
      </c>
      <c r="G18" t="s">
        <v>75</v>
      </c>
    </row>
    <row r="19" spans="1:8" x14ac:dyDescent="0.25">
      <c r="A19" s="4" t="s">
        <v>57</v>
      </c>
      <c r="B19" t="s">
        <v>87</v>
      </c>
      <c r="D19" s="5">
        <v>65</v>
      </c>
      <c r="G19" t="s">
        <v>103</v>
      </c>
    </row>
    <row r="20" spans="1:8" x14ac:dyDescent="0.25">
      <c r="A20" s="4" t="s">
        <v>58</v>
      </c>
      <c r="B20" t="s">
        <v>88</v>
      </c>
      <c r="D20" s="5">
        <v>65</v>
      </c>
      <c r="G20" t="s">
        <v>104</v>
      </c>
    </row>
    <row r="21" spans="1:8" x14ac:dyDescent="0.25">
      <c r="A21" s="4" t="s">
        <v>68</v>
      </c>
      <c r="B21" t="s">
        <v>89</v>
      </c>
      <c r="D21" s="5">
        <v>0.5</v>
      </c>
      <c r="G21" t="s">
        <v>78</v>
      </c>
    </row>
    <row r="22" spans="1:8" x14ac:dyDescent="0.25">
      <c r="A22" s="4" t="s">
        <v>69</v>
      </c>
      <c r="B22" t="s">
        <v>90</v>
      </c>
      <c r="D22" s="5">
        <f>2/12</f>
        <v>0.16666666666666666</v>
      </c>
      <c r="G22" t="s">
        <v>78</v>
      </c>
    </row>
    <row r="23" spans="1:8" x14ac:dyDescent="0.25">
      <c r="A23" s="4" t="s">
        <v>59</v>
      </c>
      <c r="B23" t="s">
        <v>91</v>
      </c>
      <c r="D23" s="5">
        <v>10</v>
      </c>
      <c r="G23" t="s">
        <v>79</v>
      </c>
    </row>
    <row r="24" spans="1:8" x14ac:dyDescent="0.25">
      <c r="A24" s="4" t="s">
        <v>67</v>
      </c>
      <c r="B24" t="s">
        <v>92</v>
      </c>
      <c r="D24" s="5">
        <v>10</v>
      </c>
      <c r="G24" t="s">
        <v>80</v>
      </c>
    </row>
    <row r="25" spans="1:8" x14ac:dyDescent="0.25">
      <c r="A25" s="4" t="s">
        <v>70</v>
      </c>
      <c r="B25" t="s">
        <v>93</v>
      </c>
      <c r="D25" s="5">
        <v>0.5</v>
      </c>
      <c r="G25" t="s">
        <v>81</v>
      </c>
    </row>
    <row r="26" spans="1:8" x14ac:dyDescent="0.25">
      <c r="A26" s="4" t="s">
        <v>71</v>
      </c>
      <c r="B26" t="s">
        <v>94</v>
      </c>
      <c r="D26" s="5">
        <f>2/12</f>
        <v>0.16666666666666666</v>
      </c>
      <c r="G26" t="s">
        <v>81</v>
      </c>
    </row>
    <row r="27" spans="1:8" x14ac:dyDescent="0.25">
      <c r="A27" s="4" t="s">
        <v>24</v>
      </c>
      <c r="B27" t="s">
        <v>23</v>
      </c>
      <c r="C27" s="4" t="s">
        <v>45</v>
      </c>
      <c r="D27" s="5">
        <v>0.99399999999999999</v>
      </c>
      <c r="E27">
        <v>0.84899999999999998</v>
      </c>
      <c r="F27">
        <v>1</v>
      </c>
      <c r="G27" t="s">
        <v>75</v>
      </c>
    </row>
    <row r="28" spans="1:8" x14ac:dyDescent="0.25">
      <c r="A28" s="4" t="s">
        <v>26</v>
      </c>
      <c r="B28" t="s">
        <v>25</v>
      </c>
      <c r="C28" s="4" t="s">
        <v>45</v>
      </c>
      <c r="D28" s="5">
        <v>0.96099999999999997</v>
      </c>
      <c r="E28">
        <v>0.83899999999999997</v>
      </c>
      <c r="F28">
        <v>0.99099999999999999</v>
      </c>
      <c r="G28" t="s">
        <v>75</v>
      </c>
    </row>
    <row r="29" spans="1:8" x14ac:dyDescent="0.25">
      <c r="A29" s="4" t="s">
        <v>28</v>
      </c>
      <c r="B29" t="s">
        <v>27</v>
      </c>
      <c r="C29" s="4" t="s">
        <v>46</v>
      </c>
      <c r="D29" s="5">
        <v>1</v>
      </c>
      <c r="G29" t="s">
        <v>75</v>
      </c>
    </row>
    <row r="30" spans="1:8" x14ac:dyDescent="0.25">
      <c r="A30" s="4" t="s">
        <v>30</v>
      </c>
      <c r="B30" t="s">
        <v>29</v>
      </c>
      <c r="D30" s="5">
        <v>0.75600000000000001</v>
      </c>
      <c r="E30">
        <v>0.64500000000000002</v>
      </c>
      <c r="F30">
        <v>0.85599999999999998</v>
      </c>
      <c r="G30" t="s">
        <v>75</v>
      </c>
      <c r="H30" s="5"/>
    </row>
    <row r="31" spans="1:8" x14ac:dyDescent="0.25">
      <c r="A31" s="4" t="s">
        <v>32</v>
      </c>
      <c r="B31" t="s">
        <v>31</v>
      </c>
      <c r="D31" s="5">
        <v>0.75900000000000001</v>
      </c>
      <c r="E31">
        <v>0.58699999999999997</v>
      </c>
      <c r="F31">
        <v>0.89900000000000002</v>
      </c>
      <c r="G31" t="s">
        <v>75</v>
      </c>
      <c r="H31" s="5"/>
    </row>
    <row r="32" spans="1:8" x14ac:dyDescent="0.25">
      <c r="A32" s="4" t="s">
        <v>34</v>
      </c>
      <c r="B32" t="s">
        <v>33</v>
      </c>
      <c r="D32" s="5">
        <v>0.90500000000000003</v>
      </c>
      <c r="E32">
        <v>0.81399999999999995</v>
      </c>
      <c r="F32">
        <v>0.97099999999999997</v>
      </c>
      <c r="G32" t="s">
        <v>75</v>
      </c>
      <c r="H32" s="5"/>
    </row>
    <row r="33" spans="1:8" x14ac:dyDescent="0.25">
      <c r="A33" s="4" t="s">
        <v>36</v>
      </c>
      <c r="B33" t="s">
        <v>35</v>
      </c>
      <c r="D33" s="5">
        <v>0.73099999999999998</v>
      </c>
      <c r="E33">
        <v>0.56999999999999995</v>
      </c>
      <c r="F33">
        <v>0.87</v>
      </c>
      <c r="G33" t="s">
        <v>75</v>
      </c>
      <c r="H33" s="5"/>
    </row>
    <row r="34" spans="1:8" x14ac:dyDescent="0.25">
      <c r="A34" s="4" t="s">
        <v>38</v>
      </c>
      <c r="B34" t="s">
        <v>37</v>
      </c>
      <c r="D34" s="5">
        <v>0.66500000000000004</v>
      </c>
      <c r="E34">
        <v>0.45400000000000001</v>
      </c>
      <c r="F34">
        <v>0.85399999999999998</v>
      </c>
      <c r="G34" t="s">
        <v>75</v>
      </c>
      <c r="H34" s="5"/>
    </row>
    <row r="35" spans="1:8" x14ac:dyDescent="0.25">
      <c r="A35" s="4" t="s">
        <v>56</v>
      </c>
      <c r="B35" t="s">
        <v>95</v>
      </c>
      <c r="D35" s="5">
        <v>0</v>
      </c>
      <c r="G35" t="s">
        <v>82</v>
      </c>
      <c r="H35" s="5"/>
    </row>
    <row r="36" spans="1:8" x14ac:dyDescent="0.25">
      <c r="A36" s="4" t="s">
        <v>60</v>
      </c>
      <c r="B36" t="s">
        <v>96</v>
      </c>
      <c r="D36" s="5">
        <f>1-0.106</f>
        <v>0.89400000000000002</v>
      </c>
      <c r="G36" t="s">
        <v>104</v>
      </c>
      <c r="H36" s="5"/>
    </row>
    <row r="37" spans="1:8" x14ac:dyDescent="0.25">
      <c r="A37" s="4" t="s">
        <v>61</v>
      </c>
      <c r="B37" t="s">
        <v>97</v>
      </c>
      <c r="D37" s="5">
        <v>0.97</v>
      </c>
      <c r="G37" t="s">
        <v>78</v>
      </c>
      <c r="H37" s="5"/>
    </row>
    <row r="38" spans="1:8" x14ac:dyDescent="0.25">
      <c r="A38" s="4" t="s">
        <v>66</v>
      </c>
      <c r="B38" t="s">
        <v>98</v>
      </c>
      <c r="D38" s="5">
        <v>0.79</v>
      </c>
      <c r="G38" t="s">
        <v>78</v>
      </c>
      <c r="H38" s="5"/>
    </row>
    <row r="39" spans="1:8" x14ac:dyDescent="0.25">
      <c r="A39" s="4" t="s">
        <v>62</v>
      </c>
      <c r="B39" t="s">
        <v>99</v>
      </c>
      <c r="D39" s="5">
        <v>0.86199999999999999</v>
      </c>
      <c r="G39" t="s">
        <v>79</v>
      </c>
      <c r="H39" s="5"/>
    </row>
    <row r="40" spans="1:8" x14ac:dyDescent="0.25">
      <c r="A40" s="4" t="s">
        <v>63</v>
      </c>
      <c r="B40" t="s">
        <v>100</v>
      </c>
      <c r="D40" s="5">
        <v>0.99990000000000001</v>
      </c>
      <c r="G40" t="s">
        <v>80</v>
      </c>
      <c r="H40" s="5"/>
    </row>
    <row r="41" spans="1:8" x14ac:dyDescent="0.25">
      <c r="A41" s="4" t="s">
        <v>64</v>
      </c>
      <c r="B41" t="s">
        <v>101</v>
      </c>
      <c r="D41" s="5">
        <v>0.99990000000000001</v>
      </c>
      <c r="G41" t="s">
        <v>80</v>
      </c>
      <c r="H41" s="5"/>
    </row>
    <row r="42" spans="1:8" x14ac:dyDescent="0.25">
      <c r="A42" s="4" t="s">
        <v>65</v>
      </c>
      <c r="B42" t="s">
        <v>102</v>
      </c>
      <c r="D42" s="5">
        <v>0.99990000000000001</v>
      </c>
      <c r="G42" t="s">
        <v>80</v>
      </c>
      <c r="H42" s="5"/>
    </row>
    <row r="43" spans="1:8" x14ac:dyDescent="0.25">
      <c r="A43" s="4" t="s">
        <v>72</v>
      </c>
      <c r="B43" t="s">
        <v>50</v>
      </c>
      <c r="D43" s="5">
        <v>1.03</v>
      </c>
      <c r="G43" t="s">
        <v>75</v>
      </c>
    </row>
    <row r="44" spans="1:8" x14ac:dyDescent="0.25">
      <c r="A44" s="4" t="s">
        <v>73</v>
      </c>
      <c r="B44" t="s">
        <v>51</v>
      </c>
      <c r="D44" s="5">
        <v>5</v>
      </c>
      <c r="G4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Michalow, Julia</dc:creator>
  <cp:lastModifiedBy>Michalow, Julia</cp:lastModifiedBy>
  <dcterms:created xsi:type="dcterms:W3CDTF">2025-01-19T17:51:01Z</dcterms:created>
  <dcterms:modified xsi:type="dcterms:W3CDTF">2025-04-15T12:57:15Z</dcterms:modified>
</cp:coreProperties>
</file>