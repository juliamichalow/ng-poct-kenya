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hm21_ic_ac_uk/Documents/Analysis/Objective 4/Model/ng-kenya/R/"/>
    </mc:Choice>
  </mc:AlternateContent>
  <xr:revisionPtr revIDLastSave="1570" documentId="8_{A4263344-EBEB-426D-A6A2-C244D96959C5}" xr6:coauthVersionLast="47" xr6:coauthVersionMax="47" xr10:uidLastSave="{FECFFFD0-D8BF-4F81-B0A1-776512677B34}"/>
  <bookViews>
    <workbookView xWindow="-110" yWindow="-110" windowWidth="38620" windowHeight="21100" xr2:uid="{00000000-000D-0000-FFFF-FFFF00000000}"/>
  </bookViews>
  <sheets>
    <sheet name="param" sheetId="1" r:id="rId1"/>
    <sheet name="init" sheetId="3" r:id="rId2"/>
    <sheet name="chi" sheetId="4" r:id="rId3"/>
    <sheet name="c" sheetId="5" r:id="rId4"/>
    <sheet name="gamma" sheetId="6" r:id="rId5"/>
    <sheet name="tau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1" l="1"/>
  <c r="F6" i="7"/>
  <c r="C4" i="7"/>
  <c r="C6" i="7" s="1"/>
  <c r="B4" i="7"/>
  <c r="B6" i="7" s="1"/>
  <c r="AA14" i="6"/>
  <c r="F38" i="6"/>
  <c r="F39" i="6"/>
  <c r="F33" i="6"/>
  <c r="F34" i="6"/>
  <c r="F28" i="6"/>
  <c r="F29" i="6"/>
  <c r="F18" i="6"/>
  <c r="F19" i="6"/>
  <c r="F23" i="6"/>
  <c r="F24" i="6"/>
  <c r="F14" i="6"/>
  <c r="F13" i="6"/>
  <c r="F9" i="6"/>
  <c r="F8" i="6"/>
  <c r="F4" i="6"/>
  <c r="F3" i="6"/>
  <c r="F2" i="6"/>
  <c r="F37" i="6"/>
  <c r="H38" i="6" s="1"/>
  <c r="L38" i="6" s="1"/>
  <c r="Q38" i="6" s="1"/>
  <c r="Q39" i="6" s="1"/>
  <c r="U39" i="6" s="1"/>
  <c r="F32" i="6"/>
  <c r="H33" i="6" s="1"/>
  <c r="L33" i="6" s="1"/>
  <c r="F27" i="6"/>
  <c r="H28" i="6" s="1"/>
  <c r="L28" i="6" s="1"/>
  <c r="F22" i="6"/>
  <c r="H23" i="6" s="1"/>
  <c r="L23" i="6" s="1"/>
  <c r="Q23" i="6" s="1"/>
  <c r="U23" i="6" s="1"/>
  <c r="F17" i="6"/>
  <c r="H18" i="6" s="1"/>
  <c r="L18" i="6" s="1"/>
  <c r="Q18" i="6" s="1"/>
  <c r="F12" i="6"/>
  <c r="H13" i="6" s="1"/>
  <c r="L13" i="6" s="1"/>
  <c r="F7" i="6"/>
  <c r="H8" i="6" s="1"/>
  <c r="L8" i="6" s="1"/>
  <c r="AB6" i="5"/>
  <c r="AA6" i="5"/>
  <c r="C43" i="4"/>
  <c r="C44" i="4" s="1"/>
  <c r="Y6" i="4"/>
  <c r="Z6" i="4" s="1"/>
  <c r="Z8" i="4" s="1"/>
  <c r="Z13" i="4" s="1"/>
  <c r="Z15" i="4" s="1"/>
  <c r="X13" i="4"/>
  <c r="X15" i="4" s="1"/>
  <c r="T39" i="5"/>
  <c r="V38" i="5"/>
  <c r="T38" i="5"/>
  <c r="T37" i="5"/>
  <c r="T34" i="5"/>
  <c r="T33" i="5"/>
  <c r="T32" i="5"/>
  <c r="V33" i="5" s="1"/>
  <c r="T29" i="5"/>
  <c r="T28" i="5"/>
  <c r="T27" i="5"/>
  <c r="V28" i="5" s="1"/>
  <c r="W28" i="5" s="1"/>
  <c r="T24" i="5"/>
  <c r="V23" i="5"/>
  <c r="T23" i="5"/>
  <c r="T22" i="5"/>
  <c r="T19" i="5"/>
  <c r="T18" i="5"/>
  <c r="T17" i="5"/>
  <c r="V18" i="5" s="1"/>
  <c r="T14" i="5"/>
  <c r="T13" i="5"/>
  <c r="T12" i="5"/>
  <c r="V13" i="5" s="1"/>
  <c r="T9" i="5"/>
  <c r="T8" i="5"/>
  <c r="T7" i="5"/>
  <c r="V8" i="5" s="1"/>
  <c r="T4" i="5"/>
  <c r="T3" i="5"/>
  <c r="T2" i="5"/>
  <c r="V3" i="5" s="1"/>
  <c r="W3" i="5" s="1"/>
  <c r="G39" i="5"/>
  <c r="G38" i="5"/>
  <c r="G37" i="5"/>
  <c r="I38" i="5" s="1"/>
  <c r="G34" i="5"/>
  <c r="G33" i="5"/>
  <c r="G32" i="5"/>
  <c r="I33" i="5" s="1"/>
  <c r="G29" i="5"/>
  <c r="G28" i="5"/>
  <c r="G27" i="5"/>
  <c r="I28" i="5" s="1"/>
  <c r="G24" i="5"/>
  <c r="G23" i="5"/>
  <c r="G22" i="5"/>
  <c r="I23" i="5" s="1"/>
  <c r="G19" i="5"/>
  <c r="G18" i="5"/>
  <c r="G17" i="5"/>
  <c r="I18" i="5" s="1"/>
  <c r="G14" i="5"/>
  <c r="G13" i="5"/>
  <c r="G12" i="5"/>
  <c r="I13" i="5" s="1"/>
  <c r="G9" i="5"/>
  <c r="G8" i="5"/>
  <c r="G7" i="5"/>
  <c r="I8" i="5" s="1"/>
  <c r="G4" i="5"/>
  <c r="G3" i="5"/>
  <c r="G2" i="5"/>
  <c r="I3" i="5" s="1"/>
  <c r="G38" i="4"/>
  <c r="G37" i="4"/>
  <c r="G36" i="4"/>
  <c r="I37" i="4" s="1"/>
  <c r="M37" i="4" s="1"/>
  <c r="G33" i="4"/>
  <c r="G32" i="4"/>
  <c r="G31" i="4"/>
  <c r="I32" i="4" s="1"/>
  <c r="M32" i="4" s="1"/>
  <c r="G28" i="4"/>
  <c r="G27" i="4"/>
  <c r="G26" i="4"/>
  <c r="I27" i="4" s="1"/>
  <c r="M27" i="4" s="1"/>
  <c r="G23" i="4"/>
  <c r="G22" i="4"/>
  <c r="G21" i="4"/>
  <c r="I22" i="4" s="1"/>
  <c r="M22" i="4" s="1"/>
  <c r="G18" i="4"/>
  <c r="G17" i="4"/>
  <c r="G16" i="4"/>
  <c r="I17" i="4" s="1"/>
  <c r="M17" i="4" s="1"/>
  <c r="G12" i="4"/>
  <c r="G11" i="4"/>
  <c r="I12" i="4" s="1"/>
  <c r="M12" i="4" s="1"/>
  <c r="G13" i="4"/>
  <c r="G8" i="4"/>
  <c r="G7" i="4"/>
  <c r="G6" i="4"/>
  <c r="I7" i="4" s="1"/>
  <c r="M7" i="4" s="1"/>
  <c r="G3" i="4"/>
  <c r="G2" i="4"/>
  <c r="G1" i="4"/>
  <c r="I2" i="4" s="1"/>
  <c r="M2" i="4" s="1"/>
  <c r="M41" i="1"/>
  <c r="M40" i="1"/>
  <c r="M39" i="1"/>
  <c r="M38" i="1"/>
  <c r="M37" i="1"/>
  <c r="M36" i="1"/>
  <c r="M35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13" i="1"/>
  <c r="M12" i="1"/>
  <c r="M11" i="1"/>
  <c r="M10" i="1"/>
  <c r="M9" i="1"/>
  <c r="M8" i="1"/>
  <c r="M7" i="1"/>
  <c r="M6" i="1"/>
  <c r="M5" i="1"/>
  <c r="M4" i="1"/>
  <c r="M2" i="1"/>
  <c r="H57" i="1"/>
  <c r="H16" i="1"/>
  <c r="H17" i="1"/>
  <c r="C8" i="7" l="1"/>
  <c r="AC6" i="5"/>
  <c r="AB7" i="5" s="1"/>
  <c r="Q19" i="6"/>
  <c r="U19" i="6" s="1"/>
  <c r="U18" i="6"/>
  <c r="U38" i="6"/>
  <c r="Q24" i="6"/>
  <c r="U24" i="6" s="1"/>
  <c r="R23" i="6"/>
  <c r="R18" i="6"/>
  <c r="V18" i="6" s="1"/>
  <c r="R38" i="6"/>
  <c r="V38" i="6" s="1"/>
  <c r="H3" i="6"/>
  <c r="I23" i="6"/>
  <c r="I8" i="6"/>
  <c r="M8" i="6" s="1"/>
  <c r="I28" i="6"/>
  <c r="M28" i="6" s="1"/>
  <c r="I33" i="6"/>
  <c r="M33" i="6" s="1"/>
  <c r="I13" i="6"/>
  <c r="M13" i="6" s="1"/>
  <c r="I38" i="6"/>
  <c r="M38" i="6" s="1"/>
  <c r="I18" i="6"/>
  <c r="M18" i="6" s="1"/>
  <c r="C10" i="4"/>
  <c r="B10" i="4"/>
  <c r="B17" i="4" s="1"/>
  <c r="J23" i="5"/>
  <c r="K23" i="5" s="1"/>
  <c r="J8" i="5"/>
  <c r="K8" i="5" s="1"/>
  <c r="W33" i="5"/>
  <c r="X33" i="5" s="1"/>
  <c r="W8" i="5"/>
  <c r="X8" i="5" s="1"/>
  <c r="Y8" i="4"/>
  <c r="Y13" i="4" s="1"/>
  <c r="Y15" i="4" s="1"/>
  <c r="W23" i="5"/>
  <c r="X23" i="5" s="1"/>
  <c r="J33" i="5"/>
  <c r="W38" i="5"/>
  <c r="X38" i="5" s="1"/>
  <c r="W13" i="5"/>
  <c r="X13" i="5" s="1"/>
  <c r="W18" i="5"/>
  <c r="X18" i="5" s="1"/>
  <c r="X28" i="5"/>
  <c r="X3" i="5"/>
  <c r="J13" i="5"/>
  <c r="K13" i="5" s="1"/>
  <c r="K33" i="5"/>
  <c r="J18" i="5"/>
  <c r="K18" i="5" s="1"/>
  <c r="J38" i="5"/>
  <c r="K38" i="5" s="1"/>
  <c r="J28" i="5"/>
  <c r="K28" i="5" s="1"/>
  <c r="J3" i="5"/>
  <c r="K3" i="5" s="1"/>
  <c r="J37" i="4"/>
  <c r="J7" i="4"/>
  <c r="J17" i="4"/>
  <c r="J2" i="4"/>
  <c r="J32" i="4"/>
  <c r="J27" i="4"/>
  <c r="J22" i="4"/>
  <c r="J12" i="4"/>
  <c r="N12" i="4" s="1"/>
  <c r="H58" i="1"/>
  <c r="H62" i="1" s="1"/>
  <c r="H83" i="1"/>
  <c r="H18" i="1"/>
  <c r="AA7" i="5" l="1"/>
  <c r="S23" i="6"/>
  <c r="W23" i="6" s="1"/>
  <c r="V23" i="6"/>
  <c r="S18" i="6"/>
  <c r="R19" i="6"/>
  <c r="V19" i="6" s="1"/>
  <c r="R39" i="6"/>
  <c r="V39" i="6" s="1"/>
  <c r="S38" i="6"/>
  <c r="R24" i="6"/>
  <c r="V24" i="6" s="1"/>
  <c r="J23" i="6"/>
  <c r="N23" i="6" s="1"/>
  <c r="M23" i="6"/>
  <c r="I3" i="6"/>
  <c r="L3" i="6"/>
  <c r="Q3" i="6" s="1"/>
  <c r="U3" i="6" s="1"/>
  <c r="J28" i="6"/>
  <c r="N28" i="6" s="1"/>
  <c r="J38" i="6"/>
  <c r="N38" i="6" s="1"/>
  <c r="J8" i="6"/>
  <c r="N8" i="6" s="1"/>
  <c r="J13" i="6"/>
  <c r="N13" i="6" s="1"/>
  <c r="J18" i="6"/>
  <c r="N18" i="6" s="1"/>
  <c r="J33" i="6"/>
  <c r="N33" i="6" s="1"/>
  <c r="K32" i="4"/>
  <c r="N32" i="4"/>
  <c r="K37" i="4"/>
  <c r="N37" i="4"/>
  <c r="K17" i="4"/>
  <c r="K12" i="4"/>
  <c r="N17" i="4"/>
  <c r="K7" i="4"/>
  <c r="N7" i="4"/>
  <c r="K22" i="4"/>
  <c r="N22" i="4"/>
  <c r="K27" i="4"/>
  <c r="N27" i="4"/>
  <c r="K2" i="4"/>
  <c r="N2" i="4"/>
  <c r="S24" i="6" l="1"/>
  <c r="W24" i="6" s="1"/>
  <c r="S39" i="6"/>
  <c r="W39" i="6" s="1"/>
  <c r="W38" i="6"/>
  <c r="S19" i="6"/>
  <c r="W19" i="6" s="1"/>
  <c r="W18" i="6"/>
  <c r="Q4" i="6"/>
  <c r="U4" i="6" s="1"/>
  <c r="R3" i="6"/>
  <c r="V3" i="6" s="1"/>
  <c r="J3" i="6"/>
  <c r="N3" i="6" s="1"/>
  <c r="M3" i="6"/>
  <c r="C11" i="4"/>
  <c r="B11" i="4"/>
  <c r="O22" i="4"/>
  <c r="Q22" i="4"/>
  <c r="O27" i="4"/>
  <c r="Q27" i="4"/>
  <c r="O37" i="4"/>
  <c r="Q37" i="4"/>
  <c r="O32" i="4"/>
  <c r="Q32" i="4"/>
  <c r="O2" i="4"/>
  <c r="Q2" i="4"/>
  <c r="O17" i="4"/>
  <c r="Q17" i="4"/>
  <c r="O7" i="4"/>
  <c r="Q7" i="4"/>
  <c r="O12" i="4"/>
  <c r="Q12" i="4"/>
  <c r="P2" i="4"/>
  <c r="P32" i="4"/>
  <c r="P22" i="4"/>
  <c r="P17" i="4"/>
  <c r="P12" i="4"/>
  <c r="P27" i="4"/>
  <c r="P37" i="4"/>
  <c r="P7" i="4"/>
  <c r="S3" i="6" l="1"/>
  <c r="R4" i="6"/>
  <c r="V4" i="6" s="1"/>
  <c r="B14" i="4"/>
  <c r="C14" i="4"/>
  <c r="B13" i="4"/>
  <c r="C13" i="4"/>
  <c r="C12" i="4"/>
  <c r="B12" i="4"/>
  <c r="S4" i="6" l="1"/>
  <c r="W4" i="6" s="1"/>
  <c r="W3" i="6"/>
</calcChain>
</file>

<file path=xl/sharedStrings.xml><?xml version="1.0" encoding="utf-8"?>
<sst xmlns="http://schemas.openxmlformats.org/spreadsheetml/2006/main" count="982" uniqueCount="360">
  <si>
    <t>variable</t>
  </si>
  <si>
    <t>sex</t>
  </si>
  <si>
    <t>age</t>
  </si>
  <si>
    <t>risk</t>
  </si>
  <si>
    <t>value</t>
  </si>
  <si>
    <t>male</t>
  </si>
  <si>
    <t>young</t>
  </si>
  <si>
    <t>low</t>
  </si>
  <si>
    <t>high</t>
  </si>
  <si>
    <t>old</t>
  </si>
  <si>
    <t>female</t>
  </si>
  <si>
    <t>omega</t>
  </si>
  <si>
    <t>mu</t>
  </si>
  <si>
    <t>pregnant</t>
  </si>
  <si>
    <t>non-pregnant</t>
  </si>
  <si>
    <t>upsilon</t>
  </si>
  <si>
    <t>kappa</t>
  </si>
  <si>
    <t>phi</t>
  </si>
  <si>
    <t>zeta</t>
  </si>
  <si>
    <t>alpha</t>
  </si>
  <si>
    <t>unit</t>
  </si>
  <si>
    <t>year-1</t>
  </si>
  <si>
    <t>Inverse duration of aging</t>
  </si>
  <si>
    <t>Inverse duration of pregnancy</t>
  </si>
  <si>
    <t>Rate of mortality per person due to other causes</t>
  </si>
  <si>
    <t>notes</t>
  </si>
  <si>
    <t>var</t>
  </si>
  <si>
    <t>Compromise for sexual partnership balancing</t>
  </si>
  <si>
    <t>Initial population size</t>
  </si>
  <si>
    <t>N</t>
  </si>
  <si>
    <t>e</t>
  </si>
  <si>
    <t>Stevens 2024 FSW PSE: 1.62 (0.86, 2.94) total and 2.24 (1.33, 3.89) urban</t>
  </si>
  <si>
    <t>range: 0.2 - 0.6</t>
  </si>
  <si>
    <t>range: 0.45 - 0.9</t>
  </si>
  <si>
    <t>category</t>
  </si>
  <si>
    <t>Behaviour</t>
  </si>
  <si>
    <t>Population</t>
  </si>
  <si>
    <t>Intervention</t>
  </si>
  <si>
    <t>Natural history</t>
  </si>
  <si>
    <t>theta_c</t>
  </si>
  <si>
    <t>Compromise for condom use balancing</t>
  </si>
  <si>
    <t>theta_chi</t>
  </si>
  <si>
    <t>med</t>
  </si>
  <si>
    <t>m -&gt; f; range: 0.25 - 0.5
0.22 (Korenromp 2000), 0.26 (Orroth 2007), 0.4 (Johnson 2016)</t>
  </si>
  <si>
    <t>f -&gt; m; range: 0.12 - 0.3
0.13 (Orroth 2007), 0.2 (Johnson 2016)</t>
  </si>
  <si>
    <t>gest</t>
  </si>
  <si>
    <t>sensitivity - WHO TPP: https://journals.plos.org/plosone/article?id=10.1371/journal.pone.0237424</t>
  </si>
  <si>
    <t>eta</t>
  </si>
  <si>
    <t>ap</t>
  </si>
  <si>
    <t>pi</t>
  </si>
  <si>
    <t>sigma</t>
  </si>
  <si>
    <t>range: 20 - 24 weeks; assume same for asymp and symp infection</t>
  </si>
  <si>
    <t>spec_sm</t>
  </si>
  <si>
    <t>spec_poct</t>
  </si>
  <si>
    <t>Specificity POCT for NG</t>
  </si>
  <si>
    <t>Sensitivity syndromic management for other infections</t>
  </si>
  <si>
    <t>sens_o</t>
  </si>
  <si>
    <t>sensitivity for BV or TV (main causes of other symptomatic RTI)</t>
  </si>
  <si>
    <t>sensitivity for NG or CT (not ideal - lack data for CT alone or TV/MG)</t>
  </si>
  <si>
    <t>Extent to which compromise partnership balancing for women
theta_c = 0, c_ad = c for men
theta_c = 1: c_ad = c for women</t>
  </si>
  <si>
    <t>n_l</t>
  </si>
  <si>
    <t>Does not include FSW/CFSW interaction which is 1 sex act per partnership</t>
  </si>
  <si>
    <t>Vickerman 2003, but poor evidence per Warner 2006: https://journals-lww-com.iclibezp1.cc.ic.ac.uk/stdjournal/fulltext/2006/01000/condom_use_and_risk_of_gonorrhea_and_chlamydia__a.11.aspx</t>
  </si>
  <si>
    <t>min</t>
  </si>
  <si>
    <t>max</t>
  </si>
  <si>
    <t>Medium risk prop / high risk prop</t>
  </si>
  <si>
    <t>upsilon_ratio</t>
  </si>
  <si>
    <t>c_age_ratio</t>
  </si>
  <si>
    <t>c_preg_ratio</t>
  </si>
  <si>
    <t>chi_age_ratio</t>
  </si>
  <si>
    <t>chi_preg_ratio</t>
  </si>
  <si>
    <t>hc_age_ratio</t>
  </si>
  <si>
    <t>hc_preg_ratio</t>
  </si>
  <si>
    <t>gamma_age_ratio</t>
  </si>
  <si>
    <t>gamma_preg_ratio</t>
  </si>
  <si>
    <t>tau_m_age_ratio</t>
  </si>
  <si>
    <t>tau_m_preg_ratio</t>
  </si>
  <si>
    <t>var_strat</t>
  </si>
  <si>
    <t>6.6% (3.3 - 12.7%)</t>
  </si>
  <si>
    <t>77% (68 - 84%)</t>
  </si>
  <si>
    <t>c_med_ratio</t>
  </si>
  <si>
    <t>c_high_ratio</t>
  </si>
  <si>
    <t>Representing low risk, young age, non-pregnant [1,1,1,1]</t>
  </si>
  <si>
    <t>Representing low risk, young age, non-pregnant [2,1,1,1]</t>
  </si>
  <si>
    <t>Assume 5% lower for older population</t>
  </si>
  <si>
    <t>Ratio med:low</t>
  </si>
  <si>
    <t>Ratio high:low</t>
  </si>
  <si>
    <t>Assume 5% lower for pregnant population</t>
  </si>
  <si>
    <t>q_med_ratio</t>
  </si>
  <si>
    <t>q_high_ratio</t>
  </si>
  <si>
    <t>q_old</t>
  </si>
  <si>
    <t>q_preg</t>
  </si>
  <si>
    <t>chi_med_ratio</t>
  </si>
  <si>
    <t>chi_high_ratio</t>
  </si>
  <si>
    <t>Lower among pregnant population; ~2% for currently married</t>
  </si>
  <si>
    <t>hc_med_ratio</t>
  </si>
  <si>
    <t>hc_high_ratio</t>
  </si>
  <si>
    <t>Based on DHS: Attendance of any ANC visit is 90-94%. FSW literature: 85-90% of FSW access any ANC.</t>
  </si>
  <si>
    <t>gamma_med_ratio</t>
  </si>
  <si>
    <t>gamma_high_ratio</t>
  </si>
  <si>
    <t>DHS: 58% 15-24y seek treatment for discharge</t>
  </si>
  <si>
    <t>DHS: 77% 15-24y seek treatment for discharge</t>
  </si>
  <si>
    <t>DHS: 76% of 15-24 and 80% of 25-49 pregnant women seek tx for discharge</t>
  </si>
  <si>
    <t>Men take 5 days to seek treatment + assume 7 days from infection to symptom onset (https://www.ncbi.nlm.nih.gov/pmc/articles/PMC7584007/)</t>
  </si>
  <si>
    <t>Women take 10 days to seek treatment + assume 7 days from infection to symptom onset (https://www.ncbi.nlm.nih.gov/pmc/articles/PMC7584007/)</t>
  </si>
  <si>
    <t>tau_m_med_ratio</t>
  </si>
  <si>
    <t>tau_m_high_ratio</t>
  </si>
  <si>
    <t>Relative probability of being in risk group (ratio med:high)</t>
  </si>
  <si>
    <t>Fraction CFSW = Fraction FSW * number reported clients per year / Number FSW visits per year reported by clients</t>
  </si>
  <si>
    <t>Relative rate of seeking treatment (ratio med:low)</t>
  </si>
  <si>
    <t>Relative rate of seeking treatment (ratio high:low)</t>
  </si>
  <si>
    <t>Relative rate of seeking treatment (ratio old:young)</t>
  </si>
  <si>
    <t>Relative rate of seeking treatment (ratio preg:non)</t>
  </si>
  <si>
    <t>gamma_sex_ratio</t>
  </si>
  <si>
    <t>sensitivity for NG and CT (equivalent treatment)</t>
  </si>
  <si>
    <t>specificity for NG and CT (equivalent treatment)</t>
  </si>
  <si>
    <t>Low risk, young, non-pregnant</t>
  </si>
  <si>
    <t xml:space="preserve">Extent to which weight women's reporting of condom use </t>
  </si>
  <si>
    <t>location_array</t>
  </si>
  <si>
    <t>DHS: 88% 25-49y male seek treatment for discharge;  78% 25-49y female seek treatment for discharge</t>
  </si>
  <si>
    <t>Young, medium risk male. Condom use range: 40 - 70%
Young, medium risk female. Condom use range: 30 - 60%</t>
  </si>
  <si>
    <t>CFSW range: 60 - 70% at last paid sexual intercourse
FSW range: 60 -75%</t>
  </si>
  <si>
    <t>chi_low</t>
  </si>
  <si>
    <t>n_m_ratio</t>
  </si>
  <si>
    <t>n_h_ratio</t>
  </si>
  <si>
    <t>c_low</t>
  </si>
  <si>
    <t>c_sex_ratio</t>
  </si>
  <si>
    <t>q_low</t>
  </si>
  <si>
    <t>hc_low</t>
  </si>
  <si>
    <t>gamma_low</t>
  </si>
  <si>
    <t>tau_m_low</t>
  </si>
  <si>
    <t>tau_m_sex_ratio</t>
  </si>
  <si>
    <t>Young, lower risk male and female. Condom use range: 0 - 20%.
Not stratifying by sex. Sex included here for ease of array set up.</t>
  </si>
  <si>
    <t>Assume equivalent to male low risk prev - coded in prep-input-3</t>
  </si>
  <si>
    <t>kappa_p * c * rho * prev</t>
  </si>
  <si>
    <t>lambda</t>
  </si>
  <si>
    <t>1 -   ((1 - (1 - e) * kappa) ^ (n * chi_avg)) *   ((1 - kappa) ^ (n * (1 - chi_avg)))</t>
  </si>
  <si>
    <t>kappa_p</t>
  </si>
  <si>
    <t>c</t>
  </si>
  <si>
    <t>chi</t>
  </si>
  <si>
    <t>n_perweek</t>
  </si>
  <si>
    <t>kappa f-m</t>
  </si>
  <si>
    <t>kappa m-f</t>
  </si>
  <si>
    <t>CFSW -&gt; FSW</t>
  </si>
  <si>
    <t>CFSW -&gt; fm low</t>
  </si>
  <si>
    <t>MALE</t>
  </si>
  <si>
    <t>FEMALE</t>
  </si>
  <si>
    <t>Ratio high:med</t>
  </si>
  <si>
    <t>n_partner</t>
  </si>
  <si>
    <t>CFSW -&gt; fm med</t>
  </si>
  <si>
    <t>c total</t>
  </si>
  <si>
    <t>low-med</t>
  </si>
  <si>
    <t>low-high</t>
  </si>
  <si>
    <t>med-high</t>
  </si>
  <si>
    <t>high-high</t>
  </si>
  <si>
    <t>low-low</t>
  </si>
  <si>
    <t>preg ratio</t>
  </si>
  <si>
    <t>m</t>
  </si>
  <si>
    <t>f</t>
  </si>
  <si>
    <t>% high risk</t>
  </si>
  <si>
    <t># partners in group</t>
  </si>
  <si>
    <t>balanced partners</t>
  </si>
  <si>
    <t>per person</t>
  </si>
  <si>
    <t>gamma_med_ratio-1</t>
  </si>
  <si>
    <t>gamma_med_ratio-2</t>
  </si>
  <si>
    <t>gamma_high_ratio-1</t>
  </si>
  <si>
    <t>gamma_high_ratio-2</t>
  </si>
  <si>
    <t>MALE YOUNG</t>
  </si>
  <si>
    <t>MALE OLD</t>
  </si>
  <si>
    <t>FEMALE YOUNG</t>
  </si>
  <si>
    <t>non-preg</t>
  </si>
  <si>
    <t>preg</t>
  </si>
  <si>
    <t>FEMALE OLD</t>
  </si>
  <si>
    <t>gamma_low-1</t>
  </si>
  <si>
    <t>gamma_sex_ratio-1</t>
  </si>
  <si>
    <t>gamma_age_ratio-1</t>
  </si>
  <si>
    <t>gamma_preg_ratio-1</t>
  </si>
  <si>
    <t>q_sex_ratio</t>
  </si>
  <si>
    <t>time to seek treatment</t>
  </si>
  <si>
    <t>time to symptom onset</t>
  </si>
  <si>
    <t>days_min</t>
  </si>
  <si>
    <t>days_max</t>
  </si>
  <si>
    <t>convert to year-1</t>
  </si>
  <si>
    <t>assume same for asymp and symp infection. Varies between 1 - 2 weeks</t>
  </si>
  <si>
    <t>Probability of being ever sexually active</t>
  </si>
  <si>
    <t>Relative probability of being ever sexually active, high:medium risk</t>
  </si>
  <si>
    <t>Probability of being sexually active for older population</t>
  </si>
  <si>
    <t>Probability of being sexually active for pregnant</t>
  </si>
  <si>
    <t>Number sex acts per week</t>
  </si>
  <si>
    <t>Relative number sex acts per week, medium:low risk</t>
  </si>
  <si>
    <t>Relative number sex acts per week, high:medium risk</t>
  </si>
  <si>
    <t>Probability of condom use</t>
  </si>
  <si>
    <t>Relative probability of condom use, high:medium risk</t>
  </si>
  <si>
    <t>Relative probability of condom use, old:young</t>
  </si>
  <si>
    <t>Probability of accessing primary health services for any cause</t>
  </si>
  <si>
    <t>Relative number sex partners reported per year, old:young</t>
  </si>
  <si>
    <t>Relative number sex partners reported per year, pregnant:non</t>
  </si>
  <si>
    <t>Relative probability of accessing primary health services for any cause, male medium:low risk</t>
  </si>
  <si>
    <t>Relative probability of accessing primary health services for any cause, female medium:low risk</t>
  </si>
  <si>
    <t>Relative probability of accessing primary health services for any cause, male high:low risk</t>
  </si>
  <si>
    <t>Relative probability of accessing primary health services for any cause, female high:low risk</t>
  </si>
  <si>
    <t>Relative probability of accessing primary health services for any cause, old:young</t>
  </si>
  <si>
    <t>Relative probability of accessing primary health services for any cause, pregnant:non</t>
  </si>
  <si>
    <t>Probability of accessing care when symptomatic</t>
  </si>
  <si>
    <t>Relative probability of of accessing care when symptomatic, female:male</t>
  </si>
  <si>
    <t>Relative probability of of accessing care when symptomatic, medium:low risk</t>
  </si>
  <si>
    <t>Relative probability of of accessing care when symptomatic, high:medium risk</t>
  </si>
  <si>
    <t>Relative probability of of accessing care when symptomatic, old:young</t>
  </si>
  <si>
    <t>Relative probability of of accessing care when symptomatic, pregnant:non</t>
  </si>
  <si>
    <t>Rate of receiving treatment among symptomatic who access care</t>
  </si>
  <si>
    <t>Relative rate of receiving treatment among symptomatic who access care, female:male</t>
  </si>
  <si>
    <t>Efficacy of condoms per sex act</t>
  </si>
  <si>
    <t>Sensitivity of syndromic management to correctly identify bacterial infections, male</t>
  </si>
  <si>
    <t>Sensitivity of syndromic management to correctly identify bacterial infections, female</t>
  </si>
  <si>
    <t>Specificity of syndromic management to correctly identify bacterial infections, male</t>
  </si>
  <si>
    <t>Specificity of syndromic management to correctly identify bacterial infections, female</t>
  </si>
  <si>
    <t>Sensitivity of POCT for NG diagnosis, male</t>
  </si>
  <si>
    <t>Sensitivity of POCT for NG diagnosis, female</t>
  </si>
  <si>
    <t>Probability of transmission per sex act, male</t>
  </si>
  <si>
    <t>Probability of transmission per sex act, female</t>
  </si>
  <si>
    <t>Probability of symptomatic infection, male</t>
  </si>
  <si>
    <t>Probability of symptomatic infection, female</t>
  </si>
  <si>
    <t>Rate of natural recovery</t>
  </si>
  <si>
    <t>Rate of recovery after treatment</t>
  </si>
  <si>
    <t>Probability that symptomatic urogenital infection is caused by NG, male</t>
  </si>
  <si>
    <t>Probability that symptomatic urogenital infection is caused by NG, female</t>
  </si>
  <si>
    <t>n</t>
  </si>
  <si>
    <t>Relative probability of condom use, medium:low risk</t>
  </si>
  <si>
    <t>chi[slyn]</t>
  </si>
  <si>
    <t>gamma[mlyn]</t>
  </si>
  <si>
    <t>zeta[m]</t>
  </si>
  <si>
    <t>zeta[f]</t>
  </si>
  <si>
    <t>p[m]</t>
  </si>
  <si>
    <t>p[f]</t>
  </si>
  <si>
    <t>kappa[m]</t>
  </si>
  <si>
    <t>kappa[f]</t>
  </si>
  <si>
    <t>phi[m]</t>
  </si>
  <si>
    <t>phi[f]</t>
  </si>
  <si>
    <t>q[slyn]</t>
  </si>
  <si>
    <t>upsilon[mm]</t>
  </si>
  <si>
    <t>upsilon[mh]</t>
  </si>
  <si>
    <t>upsilon[fm]</t>
  </si>
  <si>
    <t>upsilon[fh]</t>
  </si>
  <si>
    <t>c[slyn]</t>
  </si>
  <si>
    <t>Relative probability of being ever sexually active, medium:low risk</t>
  </si>
  <si>
    <t>$q_{slyn}$</t>
  </si>
  <si>
    <t xml:space="preserve">q[smyn] / q[slyn] </t>
  </si>
  <si>
    <t xml:space="preserve">q[shyn] / q[smyn] </t>
  </si>
  <si>
    <t>Probability of being in sexual risk group</t>
  </si>
  <si>
    <t>$\upsilon_{mm}$</t>
  </si>
  <si>
    <t>$\upsilon_{mh}$</t>
  </si>
  <si>
    <t>$\upsilon_{fm}$</t>
  </si>
  <si>
    <t>$\upsilon_{fh}$</t>
  </si>
  <si>
    <t>var_ggplot</t>
  </si>
  <si>
    <t>var_latex</t>
  </si>
  <si>
    <t>c[srog] / c[sryg]</t>
  </si>
  <si>
    <t>Number sex partners reported per year</t>
  </si>
  <si>
    <t>Relative number sex partners reported per year, female:male</t>
  </si>
  <si>
    <t>Relative number sex partners reported per year, medium:low risk</t>
  </si>
  <si>
    <t>Relative number sex partners reported per year, high:medium risk</t>
  </si>
  <si>
    <t>c[mmag] / c[mlag]</t>
  </si>
  <si>
    <t>c[fmag] / c[flag]</t>
  </si>
  <si>
    <t>c[mhag] / c[mmag]</t>
  </si>
  <si>
    <t>c[fhag] / c[fmag]</t>
  </si>
  <si>
    <t>c[frap] / c[fran]</t>
  </si>
  <si>
    <t>chi[smag] / chi[slag]</t>
  </si>
  <si>
    <t>chi[shag] / chi[smag]</t>
  </si>
  <si>
    <t>chi[srog] / chi[sryg]</t>
  </si>
  <si>
    <t>chi[flap] / chi[flan]</t>
  </si>
  <si>
    <t>chi[fmap] / chi[fman]</t>
  </si>
  <si>
    <t>chi[fhap] / chi[fhan]</t>
  </si>
  <si>
    <t>Relative probability of condom use, pregnant:non</t>
  </si>
  <si>
    <t>gamma[frag] / gamma[mrag]</t>
  </si>
  <si>
    <t>gamma[smag] / gamma[slag]</t>
  </si>
  <si>
    <t>gamma[shag] / gamma[smag]</t>
  </si>
  <si>
    <t>gamma[srog] / gamma[sryg]</t>
  </si>
  <si>
    <t>gamma[frap] / gamma[fran]</t>
  </si>
  <si>
    <t>$c_{slyn}$</t>
  </si>
  <si>
    <t>$e$</t>
  </si>
  <si>
    <t>$\zeta_m$</t>
  </si>
  <si>
    <t>$\zeta_f$</t>
  </si>
  <si>
    <t>$p_m$</t>
  </si>
  <si>
    <t>$p_f$</t>
  </si>
  <si>
    <t>$\kappa_m$</t>
  </si>
  <si>
    <t>$\kappa_f$</t>
  </si>
  <si>
    <t>$\phi_m$</t>
  </si>
  <si>
    <t>$\phi_f$</t>
  </si>
  <si>
    <t>$\pi$</t>
  </si>
  <si>
    <t>$\sigma$</t>
  </si>
  <si>
    <t>$\gamma_{mlyn}$</t>
  </si>
  <si>
    <t>$\nicefrac{q_{smyn}}{q_{slyn}}$</t>
  </si>
  <si>
    <t>$\nicefrac{q_{shyn}}{q_{smyn}}$</t>
  </si>
  <si>
    <t>$\nicefrac{c_{mmag}}{c_{mlag}}$</t>
  </si>
  <si>
    <t>$\nicefrac{c_{fmag}}{c_{flag}}$</t>
  </si>
  <si>
    <t>$\nicefrac{c_{mhag}}{c_{mmag}}$</t>
  </si>
  <si>
    <t>$\nicefrac{c_{fhag}}{c_{fmag}}$</t>
  </si>
  <si>
    <t>$\nicefrac{c_{srog}}{c_{sryg}}$</t>
  </si>
  <si>
    <t>$\nicefrac{c_{frap}}{c_{fran}}$</t>
  </si>
  <si>
    <t>$\nicefrac{\gamma_{frag}}{\gamma_{mrag}}$</t>
  </si>
  <si>
    <t>$\nicefrac{\gamma_{smag}}{\gamma_{slag}}$</t>
  </si>
  <si>
    <t>$\nicefrac{\gamma_{shag}}{\gamma_{smag}}$</t>
  </si>
  <si>
    <t>$\nicefrac{\gamma_{srog}}{\gamma_{sryg}}$</t>
  </si>
  <si>
    <t>$\nicefrac{\gamma_{frap}}{\gamma_{fran}}$</t>
  </si>
  <si>
    <t>$\chi_{slyn}$</t>
  </si>
  <si>
    <t>$\nicefrac{\chi_{smag}}{\chi_{slag}}$</t>
  </si>
  <si>
    <t>$\nicefrac{\chi_{shag}}{\chi_{smag}}$</t>
  </si>
  <si>
    <t>$\nicefrac{\chi_{srog}}{\chi_{sryg}}$</t>
  </si>
  <si>
    <t>$\nicefrac{\chi_{flap}}{\chi_{flan}}$</t>
  </si>
  <si>
    <t>$\nicefrac{\chi_{fmap}}{\chi_{fman}}$</t>
  </si>
  <si>
    <t>$\nicefrac{\chi_{fhap}}{\chi_{fhan}}$</t>
  </si>
  <si>
    <t>$\tau^y_m$</t>
  </si>
  <si>
    <t>tau[f]^y / tau[m]^y</t>
  </si>
  <si>
    <t>$\nicefrac{\tau^y_f}{\tau^y_m}$</t>
  </si>
  <si>
    <t>tau[m]^y</t>
  </si>
  <si>
    <t>var_ggplot_old</t>
  </si>
  <si>
    <t>var_latex_old</t>
  </si>
  <si>
    <t>$rq_{i:l}$</t>
  </si>
  <si>
    <t>$rq_{h:i}$</t>
  </si>
  <si>
    <t>upsilon[mi]</t>
  </si>
  <si>
    <t>upsilon[fi]</t>
  </si>
  <si>
    <t>$\upsilon_{mi}$</t>
  </si>
  <si>
    <t>$\upsilon_{fi}$</t>
  </si>
  <si>
    <t>$rc_{mi:ml}$</t>
  </si>
  <si>
    <t>$rc_{fi:fl}$</t>
  </si>
  <si>
    <t>$rc_{mh:mi}$</t>
  </si>
  <si>
    <t>$rc_{fh:fi}$</t>
  </si>
  <si>
    <t>$rc_{o:y}$</t>
  </si>
  <si>
    <t>$rc_{p:n}$</t>
  </si>
  <si>
    <t>$r\chi_{o:y}$</t>
  </si>
  <si>
    <t>$r\chi_{i:l}$</t>
  </si>
  <si>
    <t>$r\chi_{h:i}$</t>
  </si>
  <si>
    <t>$r\chi_{lp:ln}$</t>
  </si>
  <si>
    <t>$r\chi_{ip:in}$</t>
  </si>
  <si>
    <t>$r\chi_{hp:hn}$</t>
  </si>
  <si>
    <t>$r\gamma_{f:m}$</t>
  </si>
  <si>
    <t>$r\gamma_{i:l}$</t>
  </si>
  <si>
    <t>$r\gamma_{h:i}$</t>
  </si>
  <si>
    <t>$r\gamma_{o:y}$</t>
  </si>
  <si>
    <t>$r\gamma_{p:n}$</t>
  </si>
  <si>
    <t>$r\tau^y_{f:m}$</t>
  </si>
  <si>
    <t>rq[i:l]</t>
  </si>
  <si>
    <t>rq[h:i]</t>
  </si>
  <si>
    <t>rc[`mi`:`ml`]</t>
  </si>
  <si>
    <t>rc[`fi`:`fl`]</t>
  </si>
  <si>
    <t>rc[`mh`:`mi`]</t>
  </si>
  <si>
    <t>rc[`fh`:`fi`]</t>
  </si>
  <si>
    <t>rc[o:y]</t>
  </si>
  <si>
    <t>rc[p:n]</t>
  </si>
  <si>
    <t>r*phantom("")*chi[i:l]</t>
  </si>
  <si>
    <t>r*phantom("")*chi[h:i]</t>
  </si>
  <si>
    <t>r*phantom("")*chi[o:y]</t>
  </si>
  <si>
    <t>r*phantom("")*chi[`lp`:`ln`]</t>
  </si>
  <si>
    <t>r*phantom("")*chi[`ip`:`in`]</t>
  </si>
  <si>
    <t>r*phantom("")*chi[`hp`:`hn`]</t>
  </si>
  <si>
    <t>r*phantom("")*gamma[f:m]</t>
  </si>
  <si>
    <t>r*phantom("")*gamma[i:l]</t>
  </si>
  <si>
    <t>r*phantom("")*gamma[h:i]</t>
  </si>
  <si>
    <t>r*phantom("")*gamma[o:y]</t>
  </si>
  <si>
    <t>r*phantom("")*gamma[p:n]</t>
  </si>
  <si>
    <t>r*phantom("")*tau[f:m]^y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</si>
</sst>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0.000"/>
    <numFmt numFmtId="166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vertical="top"/>
    </xf>
    <xf numFmtId="0" fontId="19" fillId="0" borderId="0" xfId="0" applyFont="1" applyAlignment="1">
      <alignment horizontal="left" vertical="top"/>
    </xf>
    <xf numFmtId="0" fontId="0" fillId="35" borderId="0" xfId="0" applyFill="1" applyAlignment="1">
      <alignment vertical="top"/>
    </xf>
    <xf numFmtId="0" fontId="16" fillId="37" borderId="0" xfId="0" applyFont="1" applyFill="1" applyAlignment="1">
      <alignment vertical="top"/>
    </xf>
    <xf numFmtId="3" fontId="0" fillId="37" borderId="0" xfId="0" applyNumberFormat="1" applyFill="1" applyAlignment="1">
      <alignment vertical="top"/>
    </xf>
    <xf numFmtId="0" fontId="0" fillId="37" borderId="0" xfId="0" applyFill="1" applyAlignment="1">
      <alignment vertical="top"/>
    </xf>
    <xf numFmtId="0" fontId="20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19" fillId="37" borderId="0" xfId="0" applyFont="1" applyFill="1" applyAlignment="1">
      <alignment vertical="top"/>
    </xf>
    <xf numFmtId="9" fontId="0" fillId="0" borderId="0" xfId="43" applyFont="1" applyAlignment="1">
      <alignment vertical="top"/>
    </xf>
    <xf numFmtId="43" fontId="0" fillId="0" borderId="0" xfId="42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vertical="top"/>
    </xf>
    <xf numFmtId="43" fontId="0" fillId="0" borderId="0" xfId="0" applyNumberFormat="1" applyAlignment="1">
      <alignment vertical="top"/>
    </xf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5" fontId="0" fillId="0" borderId="0" xfId="0" applyNumberFormat="1"/>
    <xf numFmtId="1" fontId="0" fillId="0" borderId="0" xfId="0" applyNumberFormat="1"/>
    <xf numFmtId="0" fontId="13" fillId="38" borderId="13" xfId="0" applyFont="1" applyFill="1" applyBorder="1" applyAlignment="1">
      <alignment vertical="top"/>
    </xf>
    <xf numFmtId="0" fontId="13" fillId="38" borderId="14" xfId="0" applyFont="1" applyFill="1" applyBorder="1" applyAlignment="1">
      <alignment vertical="top"/>
    </xf>
    <xf numFmtId="0" fontId="13" fillId="37" borderId="14" xfId="0" applyFont="1" applyFill="1" applyBorder="1" applyAlignment="1">
      <alignment vertical="top"/>
    </xf>
    <xf numFmtId="0" fontId="13" fillId="38" borderId="14" xfId="0" applyFont="1" applyFill="1" applyBorder="1" applyAlignment="1">
      <alignment horizontal="center" vertical="center"/>
    </xf>
    <xf numFmtId="0" fontId="13" fillId="38" borderId="14" xfId="0" applyFont="1" applyFill="1" applyBorder="1" applyAlignment="1">
      <alignment horizontal="left" vertical="top"/>
    </xf>
    <xf numFmtId="0" fontId="20" fillId="38" borderId="14" xfId="0" applyFont="1" applyFill="1" applyBorder="1" applyAlignment="1">
      <alignment horizontal="left" vertical="top" wrapText="1"/>
    </xf>
    <xf numFmtId="0" fontId="13" fillId="38" borderId="15" xfId="0" applyFont="1" applyFill="1" applyBorder="1" applyAlignment="1">
      <alignment vertical="top"/>
    </xf>
    <xf numFmtId="0" fontId="0" fillId="35" borderId="13" xfId="0" applyFill="1" applyBorder="1" applyAlignment="1">
      <alignment vertical="top"/>
    </xf>
    <xf numFmtId="0" fontId="0" fillId="39" borderId="14" xfId="0" applyFill="1" applyBorder="1" applyAlignment="1">
      <alignment vertical="top"/>
    </xf>
    <xf numFmtId="0" fontId="16" fillId="39" borderId="14" xfId="0" applyFont="1" applyFill="1" applyBorder="1" applyAlignment="1">
      <alignment vertical="top"/>
    </xf>
    <xf numFmtId="0" fontId="0" fillId="37" borderId="14" xfId="0" applyFill="1" applyBorder="1" applyAlignment="1">
      <alignment vertical="top"/>
    </xf>
    <xf numFmtId="0" fontId="0" fillId="39" borderId="14" xfId="0" applyFill="1" applyBorder="1" applyAlignment="1">
      <alignment horizontal="center" vertical="center"/>
    </xf>
    <xf numFmtId="0" fontId="0" fillId="39" borderId="14" xfId="0" applyFill="1" applyBorder="1" applyAlignment="1">
      <alignment horizontal="left" vertical="top"/>
    </xf>
    <xf numFmtId="0" fontId="19" fillId="39" borderId="14" xfId="0" applyFont="1" applyFill="1" applyBorder="1" applyAlignment="1">
      <alignment horizontal="left" vertical="top" wrapText="1"/>
    </xf>
    <xf numFmtId="0" fontId="0" fillId="39" borderId="15" xfId="0" applyFill="1" applyBorder="1" applyAlignment="1">
      <alignment vertical="top"/>
    </xf>
    <xf numFmtId="0" fontId="0" fillId="0" borderId="14" xfId="0" applyBorder="1" applyAlignment="1">
      <alignment vertical="top"/>
    </xf>
    <xf numFmtId="0" fontId="16" fillId="0" borderId="14" xfId="0" applyFont="1" applyBorder="1" applyAlignment="1">
      <alignment vertical="top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top"/>
    </xf>
    <xf numFmtId="0" fontId="19" fillId="0" borderId="14" xfId="0" applyFont="1" applyBorder="1" applyAlignment="1">
      <alignment horizontal="left" vertical="top" wrapText="1"/>
    </xf>
    <xf numFmtId="0" fontId="0" fillId="0" borderId="15" xfId="0" applyBorder="1" applyAlignment="1">
      <alignment vertical="top"/>
    </xf>
    <xf numFmtId="0" fontId="19" fillId="35" borderId="13" xfId="0" applyFont="1" applyFill="1" applyBorder="1" applyAlignment="1">
      <alignment vertical="top"/>
    </xf>
    <xf numFmtId="0" fontId="19" fillId="39" borderId="14" xfId="0" applyFont="1" applyFill="1" applyBorder="1" applyAlignment="1">
      <alignment vertical="top"/>
    </xf>
    <xf numFmtId="0" fontId="20" fillId="39" borderId="14" xfId="0" applyFont="1" applyFill="1" applyBorder="1" applyAlignment="1">
      <alignment vertical="top"/>
    </xf>
    <xf numFmtId="0" fontId="19" fillId="37" borderId="14" xfId="0" applyFont="1" applyFill="1" applyBorder="1" applyAlignment="1">
      <alignment vertical="top"/>
    </xf>
    <xf numFmtId="0" fontId="19" fillId="39" borderId="14" xfId="0" applyFont="1" applyFill="1" applyBorder="1" applyAlignment="1">
      <alignment horizontal="center" vertical="center"/>
    </xf>
    <xf numFmtId="0" fontId="19" fillId="0" borderId="14" xfId="0" applyFont="1" applyBorder="1" applyAlignment="1">
      <alignment vertical="top"/>
    </xf>
    <xf numFmtId="0" fontId="20" fillId="0" borderId="14" xfId="0" applyFont="1" applyBorder="1" applyAlignment="1">
      <alignment vertical="top"/>
    </xf>
    <xf numFmtId="0" fontId="19" fillId="0" borderId="14" xfId="0" applyFont="1" applyBorder="1" applyAlignment="1">
      <alignment horizontal="center" vertical="center"/>
    </xf>
    <xf numFmtId="165" fontId="19" fillId="37" borderId="14" xfId="0" applyNumberFormat="1" applyFont="1" applyFill="1" applyBorder="1" applyAlignment="1">
      <alignment vertical="top"/>
    </xf>
    <xf numFmtId="165" fontId="19" fillId="0" borderId="14" xfId="0" applyNumberFormat="1" applyFont="1" applyBorder="1" applyAlignment="1">
      <alignment horizontal="center" vertical="center"/>
    </xf>
    <xf numFmtId="1" fontId="0" fillId="37" borderId="14" xfId="0" applyNumberFormat="1" applyFill="1" applyBorder="1" applyAlignment="1">
      <alignment vertical="top"/>
    </xf>
    <xf numFmtId="1" fontId="0" fillId="0" borderId="14" xfId="0" applyNumberFormat="1" applyBorder="1" applyAlignment="1">
      <alignment horizontal="center" vertical="center"/>
    </xf>
    <xf numFmtId="164" fontId="0" fillId="37" borderId="14" xfId="0" applyNumberFormat="1" applyFill="1" applyBorder="1" applyAlignment="1">
      <alignment vertical="top"/>
    </xf>
    <xf numFmtId="164" fontId="0" fillId="39" borderId="14" xfId="0" applyNumberFormat="1" applyFill="1" applyBorder="1" applyAlignment="1">
      <alignment horizontal="center" vertical="center"/>
    </xf>
    <xf numFmtId="0" fontId="0" fillId="34" borderId="13" xfId="0" applyFill="1" applyBorder="1" applyAlignment="1">
      <alignment vertical="top"/>
    </xf>
    <xf numFmtId="43" fontId="0" fillId="39" borderId="15" xfId="42" applyFont="1" applyFill="1" applyBorder="1" applyAlignment="1">
      <alignment vertical="top"/>
    </xf>
    <xf numFmtId="43" fontId="0" fillId="0" borderId="15" xfId="0" applyNumberFormat="1" applyBorder="1" applyAlignment="1">
      <alignment vertical="top"/>
    </xf>
    <xf numFmtId="9" fontId="0" fillId="39" borderId="15" xfId="43" applyFont="1" applyFill="1" applyBorder="1" applyAlignment="1">
      <alignment vertical="top"/>
    </xf>
    <xf numFmtId="166" fontId="19" fillId="37" borderId="14" xfId="0" applyNumberFormat="1" applyFont="1" applyFill="1" applyBorder="1" applyAlignment="1">
      <alignment vertical="top"/>
    </xf>
    <xf numFmtId="9" fontId="0" fillId="0" borderId="15" xfId="43" applyFont="1" applyBorder="1" applyAlignment="1">
      <alignment vertical="top"/>
    </xf>
    <xf numFmtId="0" fontId="0" fillId="0" borderId="14" xfId="0" applyBorder="1" applyAlignment="1">
      <alignment horizontal="left" vertical="center"/>
    </xf>
    <xf numFmtId="0" fontId="0" fillId="39" borderId="14" xfId="0" applyFill="1" applyBorder="1" applyAlignment="1">
      <alignment horizontal="left" vertical="center"/>
    </xf>
    <xf numFmtId="166" fontId="0" fillId="37" borderId="14" xfId="0" applyNumberFormat="1" applyFill="1" applyBorder="1" applyAlignment="1">
      <alignment vertical="top"/>
    </xf>
    <xf numFmtId="2" fontId="0" fillId="37" borderId="14" xfId="0" applyNumberFormat="1" applyFill="1" applyBorder="1" applyAlignment="1">
      <alignment vertical="top"/>
    </xf>
    <xf numFmtId="0" fontId="0" fillId="33" borderId="13" xfId="0" applyFill="1" applyBorder="1" applyAlignment="1">
      <alignment vertical="top"/>
    </xf>
    <xf numFmtId="0" fontId="0" fillId="36" borderId="13" xfId="0" applyFill="1" applyBorder="1" applyAlignment="1">
      <alignment vertical="top"/>
    </xf>
    <xf numFmtId="0" fontId="0" fillId="36" borderId="10" xfId="0" applyFill="1" applyBorder="1" applyAlignment="1">
      <alignment vertical="top"/>
    </xf>
    <xf numFmtId="0" fontId="0" fillId="0" borderId="11" xfId="0" applyBorder="1" applyAlignment="1">
      <alignment vertical="top"/>
    </xf>
    <xf numFmtId="0" fontId="16" fillId="0" borderId="11" xfId="0" applyFont="1" applyBorder="1" applyAlignment="1">
      <alignment vertical="top"/>
    </xf>
    <xf numFmtId="0" fontId="0" fillId="37" borderId="11" xfId="0" applyFill="1" applyBorder="1" applyAlignment="1">
      <alignment vertical="top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9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FF69"/>
      <color rgb="FFFFFFC5"/>
      <color rgb="FFF9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tabSelected="1" zoomScale="89" zoomScaleNormal="80" workbookViewId="0">
      <pane ySplit="1" topLeftCell="A12" activePane="bottomLeft" state="frozen"/>
      <selection pane="bottomLeft" activeCell="I52" sqref="I52"/>
    </sheetView>
  </sheetViews>
  <sheetFormatPr defaultColWidth="8.7265625" defaultRowHeight="14.5" x14ac:dyDescent="0.35"/>
  <cols>
    <col min="1" max="1" width="13" style="2" bestFit="1" customWidth="1"/>
    <col min="2" max="2" width="79.90625" style="2" bestFit="1" customWidth="1"/>
    <col min="3" max="3" width="16.54296875" style="1" bestFit="1" customWidth="1"/>
    <col min="4" max="4" width="6.7265625" style="2" bestFit="1" customWidth="1"/>
    <col min="5" max="5" width="4.54296875" style="2" bestFit="1" customWidth="1"/>
    <col min="6" max="6" width="5.7265625" style="2" bestFit="1" customWidth="1"/>
    <col min="7" max="7" width="11.81640625" style="2" bestFit="1" customWidth="1"/>
    <col min="8" max="8" width="8.08984375" style="7" bestFit="1" customWidth="1"/>
    <col min="9" max="10" width="5" style="7" bestFit="1" customWidth="1"/>
    <col min="11" max="11" width="6" style="2" bestFit="1" customWidth="1"/>
    <col min="12" max="12" width="13" style="15" bestFit="1" customWidth="1"/>
    <col min="13" max="13" width="18" style="16" bestFit="1" customWidth="1"/>
    <col min="14" max="14" width="63.6328125" style="9" bestFit="1" customWidth="1"/>
    <col min="15" max="15" width="26.1796875" style="2" bestFit="1" customWidth="1"/>
    <col min="16" max="16" width="15.7265625" style="2" bestFit="1" customWidth="1"/>
    <col min="17" max="17" width="25.54296875" style="2" bestFit="1" customWidth="1"/>
    <col min="18" max="18" width="38.1796875" style="2" bestFit="1" customWidth="1"/>
    <col min="19" max="16384" width="8.7265625" style="2"/>
  </cols>
  <sheetData>
    <row r="1" spans="1:18" x14ac:dyDescent="0.35">
      <c r="A1" s="25" t="s">
        <v>34</v>
      </c>
      <c r="B1" s="26" t="s">
        <v>0</v>
      </c>
      <c r="C1" s="26" t="s">
        <v>26</v>
      </c>
      <c r="D1" s="26" t="s">
        <v>1</v>
      </c>
      <c r="E1" s="26" t="s">
        <v>3</v>
      </c>
      <c r="F1" s="26" t="s">
        <v>2</v>
      </c>
      <c r="G1" s="26" t="s">
        <v>45</v>
      </c>
      <c r="H1" s="27" t="s">
        <v>4</v>
      </c>
      <c r="I1" s="27" t="s">
        <v>63</v>
      </c>
      <c r="J1" s="27" t="s">
        <v>64</v>
      </c>
      <c r="K1" s="26" t="s">
        <v>20</v>
      </c>
      <c r="L1" s="28" t="s">
        <v>118</v>
      </c>
      <c r="M1" s="29" t="s">
        <v>77</v>
      </c>
      <c r="N1" s="30" t="s">
        <v>25</v>
      </c>
      <c r="O1" s="26" t="s">
        <v>253</v>
      </c>
      <c r="P1" s="31" t="s">
        <v>254</v>
      </c>
      <c r="Q1" s="26" t="s">
        <v>314</v>
      </c>
      <c r="R1" s="31" t="s">
        <v>315</v>
      </c>
    </row>
    <row r="2" spans="1:18" x14ac:dyDescent="0.35">
      <c r="A2" s="32" t="s">
        <v>36</v>
      </c>
      <c r="B2" s="33" t="s">
        <v>184</v>
      </c>
      <c r="C2" s="34" t="s">
        <v>127</v>
      </c>
      <c r="D2" s="33" t="s">
        <v>5</v>
      </c>
      <c r="E2" s="33" t="s">
        <v>7</v>
      </c>
      <c r="F2" s="33" t="s">
        <v>6</v>
      </c>
      <c r="G2" s="33" t="s">
        <v>14</v>
      </c>
      <c r="H2" s="35">
        <v>0.6</v>
      </c>
      <c r="I2" s="35">
        <v>0.5</v>
      </c>
      <c r="J2" s="35">
        <v>0.7</v>
      </c>
      <c r="K2" s="33"/>
      <c r="L2" s="36">
        <v>1</v>
      </c>
      <c r="M2" s="37" t="str">
        <f t="shared" ref="M2:M32" si="0">IF(L2="","",C2&amp;"-"&amp;L2)</f>
        <v>q_low-1</v>
      </c>
      <c r="N2" s="38" t="s">
        <v>82</v>
      </c>
      <c r="O2" s="33" t="s">
        <v>238</v>
      </c>
      <c r="P2" s="39" t="s">
        <v>245</v>
      </c>
      <c r="Q2" s="33" t="s">
        <v>238</v>
      </c>
      <c r="R2" s="39" t="s">
        <v>245</v>
      </c>
    </row>
    <row r="3" spans="1:18" x14ac:dyDescent="0.35">
      <c r="A3" s="32" t="s">
        <v>36</v>
      </c>
      <c r="B3" s="40" t="s">
        <v>184</v>
      </c>
      <c r="C3" s="41" t="s">
        <v>177</v>
      </c>
      <c r="D3" s="40" t="s">
        <v>10</v>
      </c>
      <c r="E3" s="40"/>
      <c r="F3" s="40"/>
      <c r="G3" s="40"/>
      <c r="H3" s="35">
        <v>1</v>
      </c>
      <c r="I3" s="35"/>
      <c r="J3" s="35"/>
      <c r="K3" s="40"/>
      <c r="L3" s="42"/>
      <c r="M3" s="43"/>
      <c r="N3" s="44" t="s">
        <v>83</v>
      </c>
      <c r="O3" s="40"/>
      <c r="P3" s="45"/>
      <c r="Q3" s="40"/>
      <c r="R3" s="45"/>
    </row>
    <row r="4" spans="1:18" x14ac:dyDescent="0.35">
      <c r="A4" s="32" t="s">
        <v>36</v>
      </c>
      <c r="B4" s="33" t="s">
        <v>244</v>
      </c>
      <c r="C4" s="34" t="s">
        <v>88</v>
      </c>
      <c r="D4" s="33"/>
      <c r="E4" s="33"/>
      <c r="F4" s="33"/>
      <c r="G4" s="33"/>
      <c r="H4" s="35">
        <v>1.2</v>
      </c>
      <c r="I4" s="35">
        <v>1.05</v>
      </c>
      <c r="J4" s="35">
        <v>1.1499999999999999</v>
      </c>
      <c r="K4" s="33"/>
      <c r="L4" s="36">
        <v>1</v>
      </c>
      <c r="M4" s="37" t="str">
        <f t="shared" si="0"/>
        <v>q_med_ratio-1</v>
      </c>
      <c r="N4" s="38" t="s">
        <v>116</v>
      </c>
      <c r="O4" s="33" t="s">
        <v>340</v>
      </c>
      <c r="P4" s="33" t="s">
        <v>316</v>
      </c>
      <c r="Q4" s="33" t="s">
        <v>246</v>
      </c>
      <c r="R4" s="39" t="s">
        <v>290</v>
      </c>
    </row>
    <row r="5" spans="1:18" x14ac:dyDescent="0.35">
      <c r="A5" s="32" t="s">
        <v>36</v>
      </c>
      <c r="B5" s="40" t="s">
        <v>185</v>
      </c>
      <c r="C5" s="41" t="s">
        <v>89</v>
      </c>
      <c r="D5" s="40"/>
      <c r="E5" s="40"/>
      <c r="F5" s="40"/>
      <c r="G5" s="40"/>
      <c r="H5" s="35">
        <v>1.1000000000000001</v>
      </c>
      <c r="I5" s="35">
        <v>1.05</v>
      </c>
      <c r="J5" s="35">
        <v>1.1499999999999999</v>
      </c>
      <c r="K5" s="40"/>
      <c r="L5" s="42">
        <v>1</v>
      </c>
      <c r="M5" s="43" t="str">
        <f t="shared" si="0"/>
        <v>q_high_ratio-1</v>
      </c>
      <c r="N5" s="44" t="s">
        <v>116</v>
      </c>
      <c r="O5" s="45" t="s">
        <v>341</v>
      </c>
      <c r="P5" s="45" t="s">
        <v>317</v>
      </c>
      <c r="Q5" s="40" t="s">
        <v>247</v>
      </c>
      <c r="R5" s="45" t="s">
        <v>291</v>
      </c>
    </row>
    <row r="6" spans="1:18" x14ac:dyDescent="0.35">
      <c r="A6" s="32" t="s">
        <v>36</v>
      </c>
      <c r="B6" s="33" t="s">
        <v>186</v>
      </c>
      <c r="C6" s="34" t="s">
        <v>90</v>
      </c>
      <c r="D6" s="33"/>
      <c r="E6" s="33"/>
      <c r="F6" s="33"/>
      <c r="G6" s="33"/>
      <c r="H6" s="35">
        <v>1</v>
      </c>
      <c r="I6" s="35"/>
      <c r="J6" s="35"/>
      <c r="K6" s="33"/>
      <c r="L6" s="36"/>
      <c r="M6" s="37" t="str">
        <f t="shared" si="0"/>
        <v/>
      </c>
      <c r="N6" s="38"/>
      <c r="O6" s="33"/>
      <c r="P6" s="39"/>
      <c r="Q6" s="33"/>
      <c r="R6" s="39"/>
    </row>
    <row r="7" spans="1:18" x14ac:dyDescent="0.35">
      <c r="A7" s="32" t="s">
        <v>36</v>
      </c>
      <c r="B7" s="40" t="s">
        <v>187</v>
      </c>
      <c r="C7" s="41" t="s">
        <v>91</v>
      </c>
      <c r="D7" s="40"/>
      <c r="E7" s="40"/>
      <c r="F7" s="40"/>
      <c r="G7" s="40"/>
      <c r="H7" s="35">
        <v>1</v>
      </c>
      <c r="I7" s="35"/>
      <c r="J7" s="35"/>
      <c r="K7" s="40"/>
      <c r="L7" s="42"/>
      <c r="M7" s="43" t="str">
        <f t="shared" si="0"/>
        <v/>
      </c>
      <c r="N7" s="44"/>
      <c r="O7" s="40"/>
      <c r="P7" s="45"/>
      <c r="Q7" s="40"/>
      <c r="R7" s="45"/>
    </row>
    <row r="8" spans="1:18" x14ac:dyDescent="0.35">
      <c r="A8" s="46" t="s">
        <v>36</v>
      </c>
      <c r="B8" s="47" t="s">
        <v>248</v>
      </c>
      <c r="C8" s="48" t="s">
        <v>15</v>
      </c>
      <c r="D8" s="47" t="s">
        <v>5</v>
      </c>
      <c r="E8" s="47" t="s">
        <v>7</v>
      </c>
      <c r="F8" s="33"/>
      <c r="G8" s="33"/>
      <c r="H8" s="49">
        <v>0.75</v>
      </c>
      <c r="I8" s="49"/>
      <c r="J8" s="49"/>
      <c r="K8" s="33"/>
      <c r="L8" s="50"/>
      <c r="M8" s="37" t="str">
        <f t="shared" si="0"/>
        <v/>
      </c>
      <c r="N8" s="38"/>
      <c r="O8" s="33"/>
      <c r="P8" s="39"/>
      <c r="Q8" s="33"/>
      <c r="R8" s="39"/>
    </row>
    <row r="9" spans="1:18" x14ac:dyDescent="0.35">
      <c r="A9" s="46" t="s">
        <v>36</v>
      </c>
      <c r="B9" s="51" t="s">
        <v>248</v>
      </c>
      <c r="C9" s="52" t="s">
        <v>15</v>
      </c>
      <c r="D9" s="51" t="s">
        <v>5</v>
      </c>
      <c r="E9" s="51" t="s">
        <v>42</v>
      </c>
      <c r="F9" s="40"/>
      <c r="G9" s="40"/>
      <c r="H9" s="49">
        <v>0.15</v>
      </c>
      <c r="I9" s="49">
        <v>0.1</v>
      </c>
      <c r="J9" s="49">
        <v>0.2</v>
      </c>
      <c r="K9" s="40"/>
      <c r="L9" s="53">
        <v>3</v>
      </c>
      <c r="M9" s="43" t="str">
        <f t="shared" si="0"/>
        <v>upsilon-3</v>
      </c>
      <c r="N9" s="44"/>
      <c r="O9" s="40" t="s">
        <v>318</v>
      </c>
      <c r="P9" s="45" t="s">
        <v>320</v>
      </c>
      <c r="Q9" s="40" t="s">
        <v>239</v>
      </c>
      <c r="R9" s="45" t="s">
        <v>249</v>
      </c>
    </row>
    <row r="10" spans="1:18" ht="29" x14ac:dyDescent="0.35">
      <c r="A10" s="46" t="s">
        <v>36</v>
      </c>
      <c r="B10" s="47" t="s">
        <v>248</v>
      </c>
      <c r="C10" s="48" t="s">
        <v>15</v>
      </c>
      <c r="D10" s="47" t="s">
        <v>5</v>
      </c>
      <c r="E10" s="47" t="s">
        <v>8</v>
      </c>
      <c r="F10" s="33"/>
      <c r="G10" s="33"/>
      <c r="H10" s="49">
        <v>0.1</v>
      </c>
      <c r="I10" s="49">
        <v>0.1</v>
      </c>
      <c r="J10" s="49">
        <v>0.2</v>
      </c>
      <c r="K10" s="33"/>
      <c r="L10" s="50">
        <v>5</v>
      </c>
      <c r="M10" s="37" t="str">
        <f t="shared" si="0"/>
        <v>upsilon-5</v>
      </c>
      <c r="N10" s="38" t="s">
        <v>108</v>
      </c>
      <c r="O10" s="33" t="s">
        <v>240</v>
      </c>
      <c r="P10" s="39" t="s">
        <v>250</v>
      </c>
      <c r="Q10" s="33" t="s">
        <v>240</v>
      </c>
      <c r="R10" s="39" t="s">
        <v>250</v>
      </c>
    </row>
    <row r="11" spans="1:18" x14ac:dyDescent="0.35">
      <c r="A11" s="46" t="s">
        <v>36</v>
      </c>
      <c r="B11" s="51" t="s">
        <v>248</v>
      </c>
      <c r="C11" s="52" t="s">
        <v>15</v>
      </c>
      <c r="D11" s="51" t="s">
        <v>10</v>
      </c>
      <c r="E11" s="51" t="s">
        <v>7</v>
      </c>
      <c r="F11" s="40"/>
      <c r="G11" s="40"/>
      <c r="H11" s="54">
        <v>0.74399999999999999</v>
      </c>
      <c r="I11" s="54"/>
      <c r="J11" s="54"/>
      <c r="K11" s="40"/>
      <c r="L11" s="55"/>
      <c r="M11" s="43" t="str">
        <f t="shared" si="0"/>
        <v/>
      </c>
      <c r="N11" s="44"/>
      <c r="O11" s="40"/>
      <c r="P11" s="45"/>
      <c r="Q11" s="40"/>
      <c r="R11" s="45"/>
    </row>
    <row r="12" spans="1:18" x14ac:dyDescent="0.35">
      <c r="A12" s="46" t="s">
        <v>36</v>
      </c>
      <c r="B12" s="47" t="s">
        <v>248</v>
      </c>
      <c r="C12" s="48" t="s">
        <v>15</v>
      </c>
      <c r="D12" s="47" t="s">
        <v>10</v>
      </c>
      <c r="E12" s="47" t="s">
        <v>42</v>
      </c>
      <c r="F12" s="33"/>
      <c r="G12" s="33"/>
      <c r="H12" s="49">
        <v>0.24</v>
      </c>
      <c r="I12" s="49">
        <v>0.2</v>
      </c>
      <c r="J12" s="49">
        <v>0.3</v>
      </c>
      <c r="K12" s="33"/>
      <c r="L12" s="50">
        <v>4</v>
      </c>
      <c r="M12" s="37" t="str">
        <f t="shared" si="0"/>
        <v>upsilon-4</v>
      </c>
      <c r="N12" s="38"/>
      <c r="O12" s="33" t="s">
        <v>319</v>
      </c>
      <c r="P12" s="39" t="s">
        <v>321</v>
      </c>
      <c r="Q12" s="33" t="s">
        <v>241</v>
      </c>
      <c r="R12" s="39" t="s">
        <v>251</v>
      </c>
    </row>
    <row r="13" spans="1:18" ht="29" x14ac:dyDescent="0.35">
      <c r="A13" s="46" t="s">
        <v>36</v>
      </c>
      <c r="B13" s="51" t="s">
        <v>248</v>
      </c>
      <c r="C13" s="52" t="s">
        <v>15</v>
      </c>
      <c r="D13" s="51" t="s">
        <v>10</v>
      </c>
      <c r="E13" s="51" t="s">
        <v>8</v>
      </c>
      <c r="F13" s="40"/>
      <c r="G13" s="40"/>
      <c r="H13" s="49">
        <v>1.6E-2</v>
      </c>
      <c r="I13" s="49">
        <v>0.01</v>
      </c>
      <c r="J13" s="49">
        <v>0.03</v>
      </c>
      <c r="K13" s="40"/>
      <c r="L13" s="53">
        <v>6</v>
      </c>
      <c r="M13" s="43" t="str">
        <f t="shared" si="0"/>
        <v>upsilon-6</v>
      </c>
      <c r="N13" s="44" t="s">
        <v>31</v>
      </c>
      <c r="O13" s="40" t="s">
        <v>242</v>
      </c>
      <c r="P13" s="45" t="s">
        <v>252</v>
      </c>
      <c r="Q13" s="40" t="s">
        <v>242</v>
      </c>
      <c r="R13" s="45" t="s">
        <v>252</v>
      </c>
    </row>
    <row r="14" spans="1:18" x14ac:dyDescent="0.35">
      <c r="A14" s="32" t="s">
        <v>36</v>
      </c>
      <c r="B14" s="33" t="s">
        <v>107</v>
      </c>
      <c r="C14" s="34" t="s">
        <v>66</v>
      </c>
      <c r="D14" s="33" t="s">
        <v>5</v>
      </c>
      <c r="E14" s="33"/>
      <c r="F14" s="33"/>
      <c r="G14" s="33"/>
      <c r="H14" s="35">
        <v>1.5</v>
      </c>
      <c r="I14" s="35"/>
      <c r="J14" s="35"/>
      <c r="K14" s="33"/>
      <c r="L14" s="36"/>
      <c r="M14" s="37" t="str">
        <f t="shared" si="0"/>
        <v/>
      </c>
      <c r="N14" s="38" t="s">
        <v>65</v>
      </c>
      <c r="O14" s="33"/>
      <c r="P14" s="39"/>
      <c r="Q14" s="33"/>
      <c r="R14" s="39"/>
    </row>
    <row r="15" spans="1:18" x14ac:dyDescent="0.35">
      <c r="A15" s="32" t="s">
        <v>36</v>
      </c>
      <c r="B15" s="40" t="s">
        <v>107</v>
      </c>
      <c r="C15" s="41" t="s">
        <v>66</v>
      </c>
      <c r="D15" s="40" t="s">
        <v>10</v>
      </c>
      <c r="E15" s="40"/>
      <c r="F15" s="40"/>
      <c r="G15" s="40"/>
      <c r="H15" s="56">
        <v>15</v>
      </c>
      <c r="I15" s="56"/>
      <c r="J15" s="56"/>
      <c r="K15" s="40"/>
      <c r="L15" s="57"/>
      <c r="M15" s="43" t="str">
        <f t="shared" si="0"/>
        <v/>
      </c>
      <c r="N15" s="44" t="s">
        <v>65</v>
      </c>
      <c r="O15" s="40"/>
      <c r="P15" s="45"/>
      <c r="Q15" s="40"/>
      <c r="R15" s="45"/>
    </row>
    <row r="16" spans="1:18" x14ac:dyDescent="0.35">
      <c r="A16" s="46" t="s">
        <v>36</v>
      </c>
      <c r="B16" s="47" t="s">
        <v>22</v>
      </c>
      <c r="C16" s="48" t="s">
        <v>11</v>
      </c>
      <c r="D16" s="47"/>
      <c r="E16" s="47"/>
      <c r="F16" s="47" t="s">
        <v>6</v>
      </c>
      <c r="G16" s="47"/>
      <c r="H16" s="49">
        <f t="shared" ref="H16" si="1">1/10</f>
        <v>0.1</v>
      </c>
      <c r="I16" s="49"/>
      <c r="J16" s="49"/>
      <c r="K16" s="33" t="s">
        <v>21</v>
      </c>
      <c r="L16" s="50"/>
      <c r="M16" s="37" t="str">
        <f t="shared" si="0"/>
        <v/>
      </c>
      <c r="N16" s="38"/>
      <c r="O16" s="33"/>
      <c r="P16" s="39"/>
      <c r="Q16" s="33"/>
      <c r="R16" s="39"/>
    </row>
    <row r="17" spans="1:18" x14ac:dyDescent="0.35">
      <c r="A17" s="32" t="s">
        <v>36</v>
      </c>
      <c r="B17" s="40" t="s">
        <v>22</v>
      </c>
      <c r="C17" s="41" t="s">
        <v>11</v>
      </c>
      <c r="D17" s="40"/>
      <c r="E17" s="40"/>
      <c r="F17" s="40" t="s">
        <v>9</v>
      </c>
      <c r="G17" s="40"/>
      <c r="H17" s="35">
        <f>1/25</f>
        <v>0.04</v>
      </c>
      <c r="I17" s="35"/>
      <c r="J17" s="35"/>
      <c r="K17" s="40" t="s">
        <v>21</v>
      </c>
      <c r="L17" s="42"/>
      <c r="M17" s="43" t="str">
        <f t="shared" si="0"/>
        <v/>
      </c>
      <c r="N17" s="44"/>
      <c r="O17" s="40"/>
      <c r="P17" s="45"/>
      <c r="Q17" s="40"/>
      <c r="R17" s="45"/>
    </row>
    <row r="18" spans="1:18" x14ac:dyDescent="0.35">
      <c r="A18" s="32" t="s">
        <v>36</v>
      </c>
      <c r="B18" s="33" t="s">
        <v>23</v>
      </c>
      <c r="C18" s="34" t="s">
        <v>19</v>
      </c>
      <c r="D18" s="33"/>
      <c r="E18" s="33"/>
      <c r="F18" s="33"/>
      <c r="G18" s="33"/>
      <c r="H18" s="58">
        <f>1/(9/12)</f>
        <v>1.3333333333333333</v>
      </c>
      <c r="I18" s="58"/>
      <c r="J18" s="58"/>
      <c r="K18" s="33" t="s">
        <v>21</v>
      </c>
      <c r="L18" s="59"/>
      <c r="M18" s="37" t="str">
        <f t="shared" si="0"/>
        <v/>
      </c>
      <c r="N18" s="38"/>
      <c r="O18" s="33"/>
      <c r="P18" s="39"/>
      <c r="Q18" s="33"/>
      <c r="R18" s="39"/>
    </row>
    <row r="19" spans="1:18" x14ac:dyDescent="0.35">
      <c r="A19" s="32" t="s">
        <v>36</v>
      </c>
      <c r="B19" s="40" t="s">
        <v>24</v>
      </c>
      <c r="C19" s="41" t="s">
        <v>12</v>
      </c>
      <c r="D19" s="40" t="s">
        <v>5</v>
      </c>
      <c r="E19" s="40"/>
      <c r="F19" s="40" t="s">
        <v>6</v>
      </c>
      <c r="G19" s="40"/>
      <c r="H19" s="35">
        <v>3.14E-3</v>
      </c>
      <c r="I19" s="35"/>
      <c r="J19" s="35"/>
      <c r="K19" s="40" t="s">
        <v>21</v>
      </c>
      <c r="L19" s="42"/>
      <c r="M19" s="43" t="str">
        <f t="shared" si="0"/>
        <v/>
      </c>
      <c r="N19" s="44"/>
      <c r="O19" s="40"/>
      <c r="P19" s="45"/>
      <c r="Q19" s="40"/>
      <c r="R19" s="45"/>
    </row>
    <row r="20" spans="1:18" x14ac:dyDescent="0.35">
      <c r="A20" s="32" t="s">
        <v>36</v>
      </c>
      <c r="B20" s="33" t="s">
        <v>24</v>
      </c>
      <c r="C20" s="34" t="s">
        <v>12</v>
      </c>
      <c r="D20" s="33" t="s">
        <v>5</v>
      </c>
      <c r="E20" s="33"/>
      <c r="F20" s="33" t="s">
        <v>9</v>
      </c>
      <c r="G20" s="33"/>
      <c r="H20" s="35">
        <v>7.2100000000000003E-3</v>
      </c>
      <c r="I20" s="35"/>
      <c r="J20" s="35"/>
      <c r="K20" s="33" t="s">
        <v>21</v>
      </c>
      <c r="L20" s="36"/>
      <c r="M20" s="37" t="str">
        <f t="shared" si="0"/>
        <v/>
      </c>
      <c r="N20" s="38"/>
      <c r="O20" s="33"/>
      <c r="P20" s="39"/>
      <c r="Q20" s="33"/>
      <c r="R20" s="39"/>
    </row>
    <row r="21" spans="1:18" x14ac:dyDescent="0.35">
      <c r="A21" s="32" t="s">
        <v>36</v>
      </c>
      <c r="B21" s="40" t="s">
        <v>24</v>
      </c>
      <c r="C21" s="41" t="s">
        <v>12</v>
      </c>
      <c r="D21" s="40" t="s">
        <v>10</v>
      </c>
      <c r="E21" s="40"/>
      <c r="F21" s="40" t="s">
        <v>6</v>
      </c>
      <c r="G21" s="40"/>
      <c r="H21" s="35">
        <v>2.64E-3</v>
      </c>
      <c r="I21" s="35"/>
      <c r="J21" s="35"/>
      <c r="K21" s="40" t="s">
        <v>21</v>
      </c>
      <c r="L21" s="42"/>
      <c r="M21" s="43" t="str">
        <f t="shared" si="0"/>
        <v/>
      </c>
      <c r="N21" s="44"/>
      <c r="O21" s="40"/>
      <c r="P21" s="45"/>
      <c r="Q21" s="40"/>
      <c r="R21" s="45"/>
    </row>
    <row r="22" spans="1:18" x14ac:dyDescent="0.35">
      <c r="A22" s="32" t="s">
        <v>36</v>
      </c>
      <c r="B22" s="33" t="s">
        <v>24</v>
      </c>
      <c r="C22" s="34" t="s">
        <v>12</v>
      </c>
      <c r="D22" s="33" t="s">
        <v>10</v>
      </c>
      <c r="E22" s="33"/>
      <c r="F22" s="33" t="s">
        <v>9</v>
      </c>
      <c r="G22" s="33"/>
      <c r="H22" s="35">
        <v>6.0400000000000002E-3</v>
      </c>
      <c r="I22" s="35"/>
      <c r="J22" s="35"/>
      <c r="K22" s="33" t="s">
        <v>21</v>
      </c>
      <c r="L22" s="36"/>
      <c r="M22" s="37" t="str">
        <f t="shared" si="0"/>
        <v/>
      </c>
      <c r="N22" s="38"/>
      <c r="O22" s="33"/>
      <c r="P22" s="39"/>
      <c r="Q22" s="33"/>
      <c r="R22" s="39"/>
    </row>
    <row r="23" spans="1:18" x14ac:dyDescent="0.35">
      <c r="A23" s="60" t="s">
        <v>35</v>
      </c>
      <c r="B23" s="40" t="s">
        <v>256</v>
      </c>
      <c r="C23" s="41" t="s">
        <v>125</v>
      </c>
      <c r="D23" s="40" t="s">
        <v>5</v>
      </c>
      <c r="E23" s="40" t="s">
        <v>7</v>
      </c>
      <c r="F23" s="40" t="s">
        <v>6</v>
      </c>
      <c r="G23" s="40" t="s">
        <v>14</v>
      </c>
      <c r="H23" s="35">
        <v>1</v>
      </c>
      <c r="I23" s="35">
        <v>1</v>
      </c>
      <c r="J23" s="35">
        <v>1.5</v>
      </c>
      <c r="K23" s="40"/>
      <c r="L23" s="42">
        <v>1</v>
      </c>
      <c r="M23" s="43" t="str">
        <f t="shared" si="0"/>
        <v>c_low-1</v>
      </c>
      <c r="N23" s="44" t="s">
        <v>82</v>
      </c>
      <c r="O23" s="40" t="s">
        <v>243</v>
      </c>
      <c r="P23" s="45" t="s">
        <v>277</v>
      </c>
      <c r="Q23" s="40" t="s">
        <v>243</v>
      </c>
      <c r="R23" s="45" t="s">
        <v>277</v>
      </c>
    </row>
    <row r="24" spans="1:18" x14ac:dyDescent="0.35">
      <c r="A24" s="60" t="s">
        <v>35</v>
      </c>
      <c r="B24" s="33" t="s">
        <v>257</v>
      </c>
      <c r="C24" s="34" t="s">
        <v>126</v>
      </c>
      <c r="D24" s="33"/>
      <c r="E24" s="33"/>
      <c r="F24" s="33"/>
      <c r="G24" s="33"/>
      <c r="H24" s="35">
        <v>1</v>
      </c>
      <c r="I24" s="35"/>
      <c r="J24" s="35"/>
      <c r="K24" s="33"/>
      <c r="L24" s="36"/>
      <c r="M24" s="37" t="str">
        <f t="shared" si="0"/>
        <v/>
      </c>
      <c r="N24" s="38" t="s">
        <v>83</v>
      </c>
      <c r="O24" s="33"/>
      <c r="P24" s="39"/>
      <c r="Q24" s="33"/>
      <c r="R24" s="39"/>
    </row>
    <row r="25" spans="1:18" x14ac:dyDescent="0.35">
      <c r="A25" s="60" t="s">
        <v>35</v>
      </c>
      <c r="B25" s="40" t="s">
        <v>258</v>
      </c>
      <c r="C25" s="41" t="s">
        <v>80</v>
      </c>
      <c r="D25" s="40" t="s">
        <v>5</v>
      </c>
      <c r="E25" s="40"/>
      <c r="F25" s="40"/>
      <c r="G25" s="40"/>
      <c r="H25" s="35">
        <v>5</v>
      </c>
      <c r="I25" s="35">
        <v>3</v>
      </c>
      <c r="J25" s="35">
        <v>6</v>
      </c>
      <c r="K25" s="40"/>
      <c r="L25" s="42">
        <v>1</v>
      </c>
      <c r="M25" s="43" t="str">
        <f t="shared" si="0"/>
        <v>c_med_ratio-1</v>
      </c>
      <c r="N25" s="44" t="s">
        <v>85</v>
      </c>
      <c r="O25" s="40" t="s">
        <v>342</v>
      </c>
      <c r="P25" s="45" t="s">
        <v>322</v>
      </c>
      <c r="Q25" s="40" t="s">
        <v>260</v>
      </c>
      <c r="R25" s="45" t="s">
        <v>292</v>
      </c>
    </row>
    <row r="26" spans="1:18" x14ac:dyDescent="0.35">
      <c r="A26" s="60" t="s">
        <v>35</v>
      </c>
      <c r="B26" s="33" t="s">
        <v>258</v>
      </c>
      <c r="C26" s="34" t="s">
        <v>80</v>
      </c>
      <c r="D26" s="33" t="s">
        <v>10</v>
      </c>
      <c r="E26" s="33"/>
      <c r="F26" s="33"/>
      <c r="G26" s="33"/>
      <c r="H26" s="35">
        <v>5</v>
      </c>
      <c r="I26" s="35">
        <v>3</v>
      </c>
      <c r="J26" s="35">
        <v>6</v>
      </c>
      <c r="K26" s="33"/>
      <c r="L26" s="36">
        <v>2</v>
      </c>
      <c r="M26" s="37" t="str">
        <f t="shared" si="0"/>
        <v>c_med_ratio-2</v>
      </c>
      <c r="N26" s="38" t="s">
        <v>85</v>
      </c>
      <c r="O26" s="33" t="s">
        <v>343</v>
      </c>
      <c r="P26" s="39" t="s">
        <v>323</v>
      </c>
      <c r="Q26" s="33" t="s">
        <v>261</v>
      </c>
      <c r="R26" s="39" t="s">
        <v>293</v>
      </c>
    </row>
    <row r="27" spans="1:18" x14ac:dyDescent="0.35">
      <c r="A27" s="60" t="s">
        <v>35</v>
      </c>
      <c r="B27" s="40" t="s">
        <v>259</v>
      </c>
      <c r="C27" s="41" t="s">
        <v>81</v>
      </c>
      <c r="D27" s="40" t="s">
        <v>5</v>
      </c>
      <c r="E27" s="40"/>
      <c r="F27" s="40"/>
      <c r="G27" s="40"/>
      <c r="H27" s="35">
        <v>3</v>
      </c>
      <c r="I27" s="35">
        <v>2</v>
      </c>
      <c r="J27" s="35">
        <v>4</v>
      </c>
      <c r="K27" s="40"/>
      <c r="L27" s="42">
        <v>1</v>
      </c>
      <c r="M27" s="43" t="str">
        <f t="shared" si="0"/>
        <v>c_high_ratio-1</v>
      </c>
      <c r="N27" s="44" t="s">
        <v>147</v>
      </c>
      <c r="O27" s="40" t="s">
        <v>344</v>
      </c>
      <c r="P27" s="45" t="s">
        <v>324</v>
      </c>
      <c r="Q27" s="40" t="s">
        <v>262</v>
      </c>
      <c r="R27" s="45" t="s">
        <v>294</v>
      </c>
    </row>
    <row r="28" spans="1:18" x14ac:dyDescent="0.35">
      <c r="A28" s="60" t="s">
        <v>35</v>
      </c>
      <c r="B28" s="33" t="s">
        <v>259</v>
      </c>
      <c r="C28" s="34" t="s">
        <v>81</v>
      </c>
      <c r="D28" s="33" t="s">
        <v>10</v>
      </c>
      <c r="E28" s="33"/>
      <c r="F28" s="33"/>
      <c r="G28" s="33"/>
      <c r="H28" s="35">
        <v>40</v>
      </c>
      <c r="I28" s="35">
        <v>10</v>
      </c>
      <c r="J28" s="35">
        <v>25</v>
      </c>
      <c r="K28" s="33"/>
      <c r="L28" s="36">
        <v>2</v>
      </c>
      <c r="M28" s="37" t="str">
        <f t="shared" si="0"/>
        <v>c_high_ratio-2</v>
      </c>
      <c r="N28" s="38" t="s">
        <v>147</v>
      </c>
      <c r="O28" s="33" t="s">
        <v>345</v>
      </c>
      <c r="P28" s="39" t="s">
        <v>325</v>
      </c>
      <c r="Q28" s="33" t="s">
        <v>263</v>
      </c>
      <c r="R28" s="39" t="s">
        <v>295</v>
      </c>
    </row>
    <row r="29" spans="1:18" x14ac:dyDescent="0.35">
      <c r="A29" s="60" t="s">
        <v>35</v>
      </c>
      <c r="B29" s="40" t="s">
        <v>195</v>
      </c>
      <c r="C29" s="41" t="s">
        <v>67</v>
      </c>
      <c r="D29" s="40"/>
      <c r="E29" s="40"/>
      <c r="F29" s="40"/>
      <c r="G29" s="40"/>
      <c r="H29" s="35">
        <v>0.95</v>
      </c>
      <c r="I29" s="35">
        <v>0.85</v>
      </c>
      <c r="J29" s="35">
        <v>1</v>
      </c>
      <c r="K29" s="40"/>
      <c r="L29" s="42">
        <v>1</v>
      </c>
      <c r="M29" s="43" t="str">
        <f t="shared" si="0"/>
        <v>c_age_ratio-1</v>
      </c>
      <c r="N29" s="44" t="s">
        <v>84</v>
      </c>
      <c r="O29" s="40" t="s">
        <v>346</v>
      </c>
      <c r="P29" s="45" t="s">
        <v>326</v>
      </c>
      <c r="Q29" s="40" t="s">
        <v>255</v>
      </c>
      <c r="R29" s="45" t="s">
        <v>296</v>
      </c>
    </row>
    <row r="30" spans="1:18" x14ac:dyDescent="0.35">
      <c r="A30" s="60" t="s">
        <v>35</v>
      </c>
      <c r="B30" s="33" t="s">
        <v>196</v>
      </c>
      <c r="C30" s="48" t="s">
        <v>68</v>
      </c>
      <c r="D30" s="47"/>
      <c r="E30" s="47"/>
      <c r="F30" s="47"/>
      <c r="G30" s="47"/>
      <c r="H30" s="49">
        <v>0.95</v>
      </c>
      <c r="I30" s="49">
        <v>0.85</v>
      </c>
      <c r="J30" s="49">
        <v>1</v>
      </c>
      <c r="K30" s="47"/>
      <c r="L30" s="50">
        <v>1</v>
      </c>
      <c r="M30" s="37" t="str">
        <f t="shared" si="0"/>
        <v>c_preg_ratio-1</v>
      </c>
      <c r="N30" s="38" t="s">
        <v>87</v>
      </c>
      <c r="O30" s="33" t="s">
        <v>347</v>
      </c>
      <c r="P30" s="39" t="s">
        <v>327</v>
      </c>
      <c r="Q30" s="33" t="s">
        <v>264</v>
      </c>
      <c r="R30" s="39" t="s">
        <v>297</v>
      </c>
    </row>
    <row r="31" spans="1:18" ht="58" x14ac:dyDescent="0.35">
      <c r="A31" s="60" t="s">
        <v>35</v>
      </c>
      <c r="B31" s="51" t="s">
        <v>27</v>
      </c>
      <c r="C31" s="52" t="s">
        <v>39</v>
      </c>
      <c r="D31" s="51"/>
      <c r="E31" s="51"/>
      <c r="F31" s="51"/>
      <c r="G31" s="51"/>
      <c r="H31" s="49">
        <v>0.5</v>
      </c>
      <c r="I31" s="49"/>
      <c r="J31" s="49"/>
      <c r="K31" s="51"/>
      <c r="L31" s="53"/>
      <c r="M31" s="43" t="str">
        <f>IF(L31="","",C31&amp;"-"&amp;L31)</f>
        <v/>
      </c>
      <c r="N31" s="44" t="s">
        <v>59</v>
      </c>
      <c r="O31" s="40"/>
      <c r="P31" s="45"/>
      <c r="Q31" s="40"/>
      <c r="R31" s="45"/>
    </row>
    <row r="32" spans="1:18" x14ac:dyDescent="0.35">
      <c r="A32" s="60" t="s">
        <v>35</v>
      </c>
      <c r="B32" s="47" t="s">
        <v>188</v>
      </c>
      <c r="C32" s="48" t="s">
        <v>60</v>
      </c>
      <c r="D32" s="47"/>
      <c r="E32" s="47"/>
      <c r="F32" s="47"/>
      <c r="G32" s="47"/>
      <c r="H32" s="49">
        <v>1</v>
      </c>
      <c r="I32" s="49">
        <v>1</v>
      </c>
      <c r="J32" s="49">
        <v>2</v>
      </c>
      <c r="K32" s="47"/>
      <c r="L32" s="50">
        <v>1</v>
      </c>
      <c r="M32" s="37" t="str">
        <f t="shared" si="0"/>
        <v>n_l-1</v>
      </c>
      <c r="N32" s="38"/>
      <c r="O32" s="33" t="s">
        <v>226</v>
      </c>
      <c r="P32" s="39" t="s">
        <v>226</v>
      </c>
      <c r="Q32" s="33" t="s">
        <v>226</v>
      </c>
      <c r="R32" s="39" t="s">
        <v>226</v>
      </c>
    </row>
    <row r="33" spans="1:21" x14ac:dyDescent="0.35">
      <c r="A33" s="60" t="s">
        <v>35</v>
      </c>
      <c r="B33" s="51" t="s">
        <v>189</v>
      </c>
      <c r="C33" s="52" t="s">
        <v>123</v>
      </c>
      <c r="D33" s="51"/>
      <c r="E33" s="51"/>
      <c r="F33" s="51"/>
      <c r="G33" s="51"/>
      <c r="H33" s="49">
        <v>1</v>
      </c>
      <c r="I33" s="49"/>
      <c r="J33" s="49"/>
      <c r="K33" s="51"/>
      <c r="L33" s="53"/>
      <c r="M33" s="43" t="str">
        <f t="shared" ref="M33:M61" si="2">IF(L33="","",C33&amp;"-"&amp;L33)</f>
        <v/>
      </c>
      <c r="N33" s="44"/>
      <c r="O33" s="40"/>
      <c r="P33" s="45"/>
      <c r="Q33" s="40"/>
      <c r="R33" s="45"/>
    </row>
    <row r="34" spans="1:21" ht="29" x14ac:dyDescent="0.35">
      <c r="A34" s="60" t="s">
        <v>35</v>
      </c>
      <c r="B34" s="47" t="s">
        <v>190</v>
      </c>
      <c r="C34" s="48" t="s">
        <v>124</v>
      </c>
      <c r="D34" s="47"/>
      <c r="E34" s="47"/>
      <c r="F34" s="47"/>
      <c r="G34" s="47"/>
      <c r="H34" s="49">
        <v>1</v>
      </c>
      <c r="I34" s="49"/>
      <c r="J34" s="49"/>
      <c r="K34" s="47"/>
      <c r="L34" s="50"/>
      <c r="M34" s="37" t="str">
        <f t="shared" si="2"/>
        <v/>
      </c>
      <c r="N34" s="38" t="s">
        <v>61</v>
      </c>
      <c r="O34" s="33"/>
      <c r="P34" s="61"/>
      <c r="Q34" s="33"/>
      <c r="R34" s="61"/>
      <c r="S34" s="13"/>
      <c r="U34" s="14"/>
    </row>
    <row r="35" spans="1:21" ht="58" x14ac:dyDescent="0.35">
      <c r="A35" s="60" t="s">
        <v>35</v>
      </c>
      <c r="B35" s="40" t="s">
        <v>191</v>
      </c>
      <c r="C35" s="52" t="s">
        <v>122</v>
      </c>
      <c r="D35" s="51" t="s">
        <v>5</v>
      </c>
      <c r="E35" s="51" t="s">
        <v>7</v>
      </c>
      <c r="F35" s="51" t="s">
        <v>6</v>
      </c>
      <c r="G35" s="51" t="s">
        <v>14</v>
      </c>
      <c r="H35" s="49">
        <v>0.15</v>
      </c>
      <c r="I35" s="49">
        <v>0.25</v>
      </c>
      <c r="J35" s="49">
        <v>0.35</v>
      </c>
      <c r="K35" s="51"/>
      <c r="L35" s="53">
        <v>1</v>
      </c>
      <c r="M35" s="43" t="str">
        <f t="shared" si="2"/>
        <v>chi_low-1</v>
      </c>
      <c r="N35" s="44" t="s">
        <v>132</v>
      </c>
      <c r="O35" s="40" t="s">
        <v>228</v>
      </c>
      <c r="P35" s="62" t="s">
        <v>303</v>
      </c>
      <c r="Q35" s="40" t="s">
        <v>228</v>
      </c>
      <c r="R35" s="62" t="s">
        <v>303</v>
      </c>
      <c r="S35" s="13"/>
      <c r="U35" s="18"/>
    </row>
    <row r="36" spans="1:21" ht="29" x14ac:dyDescent="0.35">
      <c r="A36" s="60" t="s">
        <v>35</v>
      </c>
      <c r="B36" s="33" t="s">
        <v>227</v>
      </c>
      <c r="C36" s="48" t="s">
        <v>92</v>
      </c>
      <c r="D36" s="47"/>
      <c r="E36" s="47"/>
      <c r="F36" s="47"/>
      <c r="G36" s="47"/>
      <c r="H36" s="49">
        <v>4</v>
      </c>
      <c r="I36" s="49">
        <v>2.2999999999999998</v>
      </c>
      <c r="J36" s="49">
        <v>2.5</v>
      </c>
      <c r="K36" s="47"/>
      <c r="L36" s="50">
        <v>1</v>
      </c>
      <c r="M36" s="37" t="str">
        <f t="shared" si="2"/>
        <v>chi_med_ratio-1</v>
      </c>
      <c r="N36" s="38" t="s">
        <v>120</v>
      </c>
      <c r="O36" s="33" t="s">
        <v>348</v>
      </c>
      <c r="P36" s="63" t="s">
        <v>329</v>
      </c>
      <c r="Q36" s="33" t="s">
        <v>265</v>
      </c>
      <c r="R36" s="63" t="s">
        <v>304</v>
      </c>
      <c r="S36" s="13"/>
      <c r="U36" s="18"/>
    </row>
    <row r="37" spans="1:21" ht="29" x14ac:dyDescent="0.35">
      <c r="A37" s="60" t="s">
        <v>35</v>
      </c>
      <c r="B37" s="40" t="s">
        <v>192</v>
      </c>
      <c r="C37" s="52" t="s">
        <v>93</v>
      </c>
      <c r="D37" s="51"/>
      <c r="E37" s="51"/>
      <c r="F37" s="51"/>
      <c r="G37" s="51"/>
      <c r="H37" s="64">
        <v>1.3</v>
      </c>
      <c r="I37" s="49">
        <v>1</v>
      </c>
      <c r="J37" s="49">
        <v>1.1499999999999999</v>
      </c>
      <c r="K37" s="51"/>
      <c r="L37" s="53">
        <v>1</v>
      </c>
      <c r="M37" s="43" t="str">
        <f t="shared" si="2"/>
        <v>chi_high_ratio-1</v>
      </c>
      <c r="N37" s="44" t="s">
        <v>121</v>
      </c>
      <c r="O37" s="40" t="s">
        <v>349</v>
      </c>
      <c r="P37" s="65" t="s">
        <v>330</v>
      </c>
      <c r="Q37" s="40" t="s">
        <v>266</v>
      </c>
      <c r="R37" s="65" t="s">
        <v>305</v>
      </c>
      <c r="S37" s="13"/>
      <c r="U37" s="18"/>
    </row>
    <row r="38" spans="1:21" x14ac:dyDescent="0.35">
      <c r="A38" s="60" t="s">
        <v>35</v>
      </c>
      <c r="B38" s="33" t="s">
        <v>193</v>
      </c>
      <c r="C38" s="48" t="s">
        <v>69</v>
      </c>
      <c r="D38" s="47"/>
      <c r="E38" s="47"/>
      <c r="F38" s="47"/>
      <c r="G38" s="47"/>
      <c r="H38" s="49">
        <v>0.95</v>
      </c>
      <c r="I38" s="49">
        <v>0.85</v>
      </c>
      <c r="J38" s="49">
        <v>1</v>
      </c>
      <c r="K38" s="47"/>
      <c r="L38" s="50">
        <v>1</v>
      </c>
      <c r="M38" s="37" t="str">
        <f t="shared" si="2"/>
        <v>chi_age_ratio-1</v>
      </c>
      <c r="N38" s="38"/>
      <c r="O38" s="33" t="s">
        <v>350</v>
      </c>
      <c r="P38" s="39" t="s">
        <v>328</v>
      </c>
      <c r="Q38" s="33" t="s">
        <v>267</v>
      </c>
      <c r="R38" s="39" t="s">
        <v>306</v>
      </c>
      <c r="U38" s="18"/>
    </row>
    <row r="39" spans="1:21" x14ac:dyDescent="0.35">
      <c r="A39" s="60" t="s">
        <v>35</v>
      </c>
      <c r="B39" s="40" t="s">
        <v>271</v>
      </c>
      <c r="C39" s="52" t="s">
        <v>70</v>
      </c>
      <c r="D39" s="51"/>
      <c r="E39" s="51" t="s">
        <v>7</v>
      </c>
      <c r="F39" s="51"/>
      <c r="G39" s="51"/>
      <c r="H39" s="49">
        <v>0.2</v>
      </c>
      <c r="I39" s="49">
        <v>0.1</v>
      </c>
      <c r="J39" s="49">
        <v>0.3</v>
      </c>
      <c r="K39" s="51"/>
      <c r="L39" s="53">
        <v>1</v>
      </c>
      <c r="M39" s="43" t="str">
        <f t="shared" si="2"/>
        <v>chi_preg_ratio-1</v>
      </c>
      <c r="N39" s="44" t="s">
        <v>94</v>
      </c>
      <c r="O39" s="40" t="s">
        <v>351</v>
      </c>
      <c r="P39" s="45" t="s">
        <v>331</v>
      </c>
      <c r="Q39" s="40" t="s">
        <v>268</v>
      </c>
      <c r="R39" s="45" t="s">
        <v>307</v>
      </c>
    </row>
    <row r="40" spans="1:21" x14ac:dyDescent="0.35">
      <c r="A40" s="60" t="s">
        <v>35</v>
      </c>
      <c r="B40" s="33" t="s">
        <v>271</v>
      </c>
      <c r="C40" s="48" t="s">
        <v>70</v>
      </c>
      <c r="D40" s="47"/>
      <c r="E40" s="47" t="s">
        <v>42</v>
      </c>
      <c r="F40" s="47"/>
      <c r="G40" s="47"/>
      <c r="H40" s="49">
        <v>0.3</v>
      </c>
      <c r="I40" s="49">
        <v>0.1</v>
      </c>
      <c r="J40" s="49">
        <v>0.3</v>
      </c>
      <c r="K40" s="47"/>
      <c r="L40" s="50">
        <v>2</v>
      </c>
      <c r="M40" s="37" t="str">
        <f t="shared" si="2"/>
        <v>chi_preg_ratio-2</v>
      </c>
      <c r="N40" s="38"/>
      <c r="O40" s="33" t="s">
        <v>352</v>
      </c>
      <c r="P40" s="39" t="s">
        <v>332</v>
      </c>
      <c r="Q40" s="33" t="s">
        <v>269</v>
      </c>
      <c r="R40" s="39" t="s">
        <v>308</v>
      </c>
    </row>
    <row r="41" spans="1:21" x14ac:dyDescent="0.35">
      <c r="A41" s="60" t="s">
        <v>35</v>
      </c>
      <c r="B41" s="40" t="s">
        <v>271</v>
      </c>
      <c r="C41" s="52" t="s">
        <v>70</v>
      </c>
      <c r="D41" s="51"/>
      <c r="E41" s="51" t="s">
        <v>8</v>
      </c>
      <c r="F41" s="51"/>
      <c r="G41" s="51"/>
      <c r="H41" s="49">
        <v>0.9</v>
      </c>
      <c r="I41" s="49">
        <v>0.85</v>
      </c>
      <c r="J41" s="49">
        <v>1</v>
      </c>
      <c r="K41" s="51"/>
      <c r="L41" s="53">
        <v>3</v>
      </c>
      <c r="M41" s="43" t="str">
        <f t="shared" si="2"/>
        <v>chi_preg_ratio-3</v>
      </c>
      <c r="N41" s="44"/>
      <c r="O41" s="40" t="s">
        <v>353</v>
      </c>
      <c r="P41" s="45" t="s">
        <v>333</v>
      </c>
      <c r="Q41" s="40" t="s">
        <v>270</v>
      </c>
      <c r="R41" s="45" t="s">
        <v>309</v>
      </c>
    </row>
    <row r="42" spans="1:21" x14ac:dyDescent="0.35">
      <c r="A42" s="60" t="s">
        <v>35</v>
      </c>
      <c r="B42" s="47" t="s">
        <v>40</v>
      </c>
      <c r="C42" s="48" t="s">
        <v>41</v>
      </c>
      <c r="D42" s="47"/>
      <c r="E42" s="47"/>
      <c r="F42" s="47"/>
      <c r="G42" s="47"/>
      <c r="H42" s="49">
        <v>0.5</v>
      </c>
      <c r="I42" s="49"/>
      <c r="J42" s="49"/>
      <c r="K42" s="47"/>
      <c r="L42" s="50"/>
      <c r="M42" s="37" t="str">
        <f t="shared" si="2"/>
        <v/>
      </c>
      <c r="N42" s="38" t="s">
        <v>117</v>
      </c>
      <c r="O42" s="33"/>
      <c r="P42" s="39"/>
      <c r="Q42" s="33"/>
      <c r="R42" s="39"/>
    </row>
    <row r="43" spans="1:21" x14ac:dyDescent="0.35">
      <c r="A43" s="60" t="s">
        <v>35</v>
      </c>
      <c r="B43" s="51" t="s">
        <v>194</v>
      </c>
      <c r="C43" s="52" t="s">
        <v>128</v>
      </c>
      <c r="D43" s="51" t="s">
        <v>5</v>
      </c>
      <c r="E43" s="51" t="s">
        <v>7</v>
      </c>
      <c r="F43" s="51" t="s">
        <v>6</v>
      </c>
      <c r="G43" s="51" t="s">
        <v>14</v>
      </c>
      <c r="H43" s="49">
        <v>0.7</v>
      </c>
      <c r="I43" s="49"/>
      <c r="J43" s="49"/>
      <c r="K43" s="51"/>
      <c r="L43" s="53"/>
      <c r="M43" s="66" t="str">
        <f t="shared" si="2"/>
        <v/>
      </c>
      <c r="N43" s="44" t="s">
        <v>82</v>
      </c>
      <c r="O43" s="40"/>
      <c r="P43" s="45"/>
      <c r="Q43" s="40"/>
      <c r="R43" s="45"/>
    </row>
    <row r="44" spans="1:21" x14ac:dyDescent="0.35">
      <c r="A44" s="60" t="s">
        <v>35</v>
      </c>
      <c r="B44" s="47" t="s">
        <v>194</v>
      </c>
      <c r="C44" s="48" t="s">
        <v>128</v>
      </c>
      <c r="D44" s="33" t="s">
        <v>10</v>
      </c>
      <c r="E44" s="33" t="s">
        <v>7</v>
      </c>
      <c r="F44" s="33" t="s">
        <v>6</v>
      </c>
      <c r="G44" s="33" t="s">
        <v>14</v>
      </c>
      <c r="H44" s="35">
        <v>0.75</v>
      </c>
      <c r="I44" s="35"/>
      <c r="J44" s="35"/>
      <c r="K44" s="33"/>
      <c r="L44" s="36"/>
      <c r="M44" s="67" t="str">
        <f t="shared" si="2"/>
        <v/>
      </c>
      <c r="N44" s="38" t="s">
        <v>83</v>
      </c>
      <c r="O44" s="33"/>
      <c r="P44" s="39"/>
      <c r="Q44" s="33"/>
      <c r="R44" s="39"/>
    </row>
    <row r="45" spans="1:21" x14ac:dyDescent="0.35">
      <c r="A45" s="60" t="s">
        <v>35</v>
      </c>
      <c r="B45" s="51" t="s">
        <v>197</v>
      </c>
      <c r="C45" s="41" t="s">
        <v>95</v>
      </c>
      <c r="D45" s="40" t="s">
        <v>5</v>
      </c>
      <c r="E45" s="40"/>
      <c r="F45" s="40"/>
      <c r="G45" s="40"/>
      <c r="H45" s="35">
        <v>1</v>
      </c>
      <c r="I45" s="35"/>
      <c r="J45" s="35"/>
      <c r="K45" s="40"/>
      <c r="L45" s="42"/>
      <c r="M45" s="66" t="str">
        <f t="shared" si="2"/>
        <v/>
      </c>
      <c r="N45" s="44" t="s">
        <v>85</v>
      </c>
      <c r="O45" s="40"/>
      <c r="P45" s="45"/>
      <c r="Q45" s="40"/>
      <c r="R45" s="45"/>
    </row>
    <row r="46" spans="1:21" x14ac:dyDescent="0.35">
      <c r="A46" s="60" t="s">
        <v>35</v>
      </c>
      <c r="B46" s="47" t="s">
        <v>198</v>
      </c>
      <c r="C46" s="34" t="s">
        <v>95</v>
      </c>
      <c r="D46" s="33" t="s">
        <v>10</v>
      </c>
      <c r="E46" s="33"/>
      <c r="F46" s="33"/>
      <c r="G46" s="33"/>
      <c r="H46" s="35">
        <v>1</v>
      </c>
      <c r="I46" s="35"/>
      <c r="J46" s="35"/>
      <c r="K46" s="33"/>
      <c r="L46" s="36"/>
      <c r="M46" s="67" t="str">
        <f t="shared" si="2"/>
        <v/>
      </c>
      <c r="N46" s="38" t="s">
        <v>85</v>
      </c>
      <c r="O46" s="33"/>
      <c r="P46" s="39"/>
      <c r="Q46" s="33"/>
      <c r="R46" s="39"/>
    </row>
    <row r="47" spans="1:21" x14ac:dyDescent="0.35">
      <c r="A47" s="60" t="s">
        <v>35</v>
      </c>
      <c r="B47" s="51" t="s">
        <v>199</v>
      </c>
      <c r="C47" s="41" t="s">
        <v>96</v>
      </c>
      <c r="D47" s="40" t="s">
        <v>5</v>
      </c>
      <c r="E47" s="40"/>
      <c r="F47" s="40"/>
      <c r="G47" s="40"/>
      <c r="H47" s="35">
        <v>1</v>
      </c>
      <c r="I47" s="35"/>
      <c r="J47" s="35"/>
      <c r="K47" s="40"/>
      <c r="L47" s="42"/>
      <c r="M47" s="66" t="str">
        <f t="shared" si="2"/>
        <v/>
      </c>
      <c r="N47" s="44" t="s">
        <v>86</v>
      </c>
      <c r="O47" s="40"/>
      <c r="P47" s="45"/>
      <c r="Q47" s="40"/>
      <c r="R47" s="45"/>
    </row>
    <row r="48" spans="1:21" x14ac:dyDescent="0.35">
      <c r="A48" s="60" t="s">
        <v>35</v>
      </c>
      <c r="B48" s="47" t="s">
        <v>200</v>
      </c>
      <c r="C48" s="34" t="s">
        <v>96</v>
      </c>
      <c r="D48" s="33" t="s">
        <v>10</v>
      </c>
      <c r="E48" s="33"/>
      <c r="F48" s="33"/>
      <c r="G48" s="33"/>
      <c r="H48" s="35">
        <v>1</v>
      </c>
      <c r="I48" s="35"/>
      <c r="J48" s="35"/>
      <c r="K48" s="33"/>
      <c r="L48" s="36"/>
      <c r="M48" s="67" t="str">
        <f t="shared" si="2"/>
        <v/>
      </c>
      <c r="N48" s="38" t="s">
        <v>86</v>
      </c>
      <c r="O48" s="33"/>
      <c r="P48" s="39"/>
      <c r="Q48" s="33"/>
      <c r="R48" s="39"/>
    </row>
    <row r="49" spans="1:18" x14ac:dyDescent="0.35">
      <c r="A49" s="60" t="s">
        <v>35</v>
      </c>
      <c r="B49" s="51" t="s">
        <v>201</v>
      </c>
      <c r="C49" s="41" t="s">
        <v>71</v>
      </c>
      <c r="D49" s="40"/>
      <c r="E49" s="40"/>
      <c r="F49" s="40"/>
      <c r="G49" s="40"/>
      <c r="H49" s="35">
        <v>1.05</v>
      </c>
      <c r="I49" s="35"/>
      <c r="J49" s="35"/>
      <c r="K49" s="40"/>
      <c r="L49" s="42"/>
      <c r="M49" s="66" t="str">
        <f t="shared" si="2"/>
        <v/>
      </c>
      <c r="N49" s="44"/>
      <c r="O49" s="40"/>
      <c r="P49" s="45"/>
      <c r="Q49" s="40"/>
      <c r="R49" s="45"/>
    </row>
    <row r="50" spans="1:18" ht="29" x14ac:dyDescent="0.35">
      <c r="A50" s="60" t="s">
        <v>35</v>
      </c>
      <c r="B50" s="47" t="s">
        <v>202</v>
      </c>
      <c r="C50" s="34" t="s">
        <v>72</v>
      </c>
      <c r="D50" s="33"/>
      <c r="E50" s="47"/>
      <c r="F50" s="47"/>
      <c r="G50" s="47"/>
      <c r="H50" s="35">
        <v>1.2</v>
      </c>
      <c r="I50" s="35"/>
      <c r="J50" s="35"/>
      <c r="K50" s="33"/>
      <c r="L50" s="36"/>
      <c r="M50" s="67" t="str">
        <f t="shared" si="2"/>
        <v/>
      </c>
      <c r="N50" s="38" t="s">
        <v>97</v>
      </c>
      <c r="O50" s="33"/>
      <c r="P50" s="39"/>
      <c r="Q50" s="33"/>
      <c r="R50" s="39"/>
    </row>
    <row r="51" spans="1:18" x14ac:dyDescent="0.35">
      <c r="A51" s="60" t="s">
        <v>35</v>
      </c>
      <c r="B51" s="40" t="s">
        <v>203</v>
      </c>
      <c r="C51" s="52" t="s">
        <v>129</v>
      </c>
      <c r="D51" s="40" t="s">
        <v>5</v>
      </c>
      <c r="E51" s="40" t="s">
        <v>7</v>
      </c>
      <c r="F51" s="40" t="s">
        <v>6</v>
      </c>
      <c r="G51" s="40" t="s">
        <v>14</v>
      </c>
      <c r="H51" s="35">
        <v>0.75</v>
      </c>
      <c r="I51" s="35">
        <v>0.65</v>
      </c>
      <c r="J51" s="35">
        <v>0.75</v>
      </c>
      <c r="K51" s="40"/>
      <c r="L51" s="42">
        <v>1</v>
      </c>
      <c r="M51" s="66" t="str">
        <f t="shared" si="2"/>
        <v>gamma_low-1</v>
      </c>
      <c r="N51" s="44" t="s">
        <v>101</v>
      </c>
      <c r="O51" s="40" t="s">
        <v>229</v>
      </c>
      <c r="P51" s="45" t="s">
        <v>289</v>
      </c>
      <c r="Q51" s="40" t="s">
        <v>229</v>
      </c>
      <c r="R51" s="45" t="s">
        <v>289</v>
      </c>
    </row>
    <row r="52" spans="1:18" x14ac:dyDescent="0.35">
      <c r="A52" s="60" t="s">
        <v>35</v>
      </c>
      <c r="B52" s="33" t="s">
        <v>204</v>
      </c>
      <c r="C52" s="48" t="s">
        <v>113</v>
      </c>
      <c r="D52" s="33"/>
      <c r="E52" s="33"/>
      <c r="F52" s="33"/>
      <c r="G52" s="33"/>
      <c r="H52" s="35">
        <v>0.88</v>
      </c>
      <c r="I52" s="35">
        <v>0.7</v>
      </c>
      <c r="J52" s="35">
        <v>0.9</v>
      </c>
      <c r="K52" s="33"/>
      <c r="L52" s="36">
        <v>1</v>
      </c>
      <c r="M52" s="67" t="str">
        <f t="shared" si="2"/>
        <v>gamma_sex_ratio-1</v>
      </c>
      <c r="N52" s="38" t="s">
        <v>100</v>
      </c>
      <c r="O52" s="33" t="s">
        <v>354</v>
      </c>
      <c r="P52" s="39" t="s">
        <v>334</v>
      </c>
      <c r="Q52" s="33" t="s">
        <v>272</v>
      </c>
      <c r="R52" s="39" t="s">
        <v>298</v>
      </c>
    </row>
    <row r="53" spans="1:18" x14ac:dyDescent="0.35">
      <c r="A53" s="60" t="s">
        <v>35</v>
      </c>
      <c r="B53" s="40" t="s">
        <v>205</v>
      </c>
      <c r="C53" s="52" t="s">
        <v>98</v>
      </c>
      <c r="D53" s="40"/>
      <c r="E53" s="40"/>
      <c r="F53" s="40"/>
      <c r="G53" s="40"/>
      <c r="H53" s="35">
        <v>1.05</v>
      </c>
      <c r="I53" s="35">
        <v>1</v>
      </c>
      <c r="J53" s="35">
        <v>1.1000000000000001</v>
      </c>
      <c r="K53" s="40"/>
      <c r="L53" s="42">
        <v>1</v>
      </c>
      <c r="M53" s="66" t="str">
        <f t="shared" si="2"/>
        <v>gamma_med_ratio-1</v>
      </c>
      <c r="N53" s="44"/>
      <c r="O53" s="45" t="s">
        <v>355</v>
      </c>
      <c r="P53" s="45" t="s">
        <v>335</v>
      </c>
      <c r="Q53" s="40" t="s">
        <v>273</v>
      </c>
      <c r="R53" s="45" t="s">
        <v>299</v>
      </c>
    </row>
    <row r="54" spans="1:18" x14ac:dyDescent="0.35">
      <c r="A54" s="60" t="s">
        <v>35</v>
      </c>
      <c r="B54" s="33" t="s">
        <v>206</v>
      </c>
      <c r="C54" s="48" t="s">
        <v>99</v>
      </c>
      <c r="D54" s="33"/>
      <c r="E54" s="33"/>
      <c r="F54" s="33"/>
      <c r="G54" s="33"/>
      <c r="H54" s="35">
        <v>1.05</v>
      </c>
      <c r="I54" s="35">
        <v>1</v>
      </c>
      <c r="J54" s="35">
        <v>1.1000000000000001</v>
      </c>
      <c r="K54" s="33"/>
      <c r="L54" s="36">
        <v>1</v>
      </c>
      <c r="M54" s="67" t="str">
        <f t="shared" si="2"/>
        <v>gamma_high_ratio-1</v>
      </c>
      <c r="N54" s="38"/>
      <c r="O54" s="33" t="s">
        <v>356</v>
      </c>
      <c r="P54" s="39" t="s">
        <v>336</v>
      </c>
      <c r="Q54" s="33" t="s">
        <v>274</v>
      </c>
      <c r="R54" s="39" t="s">
        <v>300</v>
      </c>
    </row>
    <row r="55" spans="1:18" ht="29" x14ac:dyDescent="0.35">
      <c r="A55" s="60" t="s">
        <v>35</v>
      </c>
      <c r="B55" s="40" t="s">
        <v>207</v>
      </c>
      <c r="C55" s="52" t="s">
        <v>73</v>
      </c>
      <c r="D55" s="40"/>
      <c r="E55" s="40"/>
      <c r="F55" s="40"/>
      <c r="G55" s="40"/>
      <c r="H55" s="35">
        <v>1.05</v>
      </c>
      <c r="I55" s="35">
        <v>1</v>
      </c>
      <c r="J55" s="35">
        <v>1.1000000000000001</v>
      </c>
      <c r="K55" s="40"/>
      <c r="L55" s="42">
        <v>1</v>
      </c>
      <c r="M55" s="66" t="str">
        <f t="shared" si="2"/>
        <v>gamma_age_ratio-1</v>
      </c>
      <c r="N55" s="44" t="s">
        <v>119</v>
      </c>
      <c r="O55" s="45" t="s">
        <v>357</v>
      </c>
      <c r="P55" s="45" t="s">
        <v>337</v>
      </c>
      <c r="Q55" s="40" t="s">
        <v>275</v>
      </c>
      <c r="R55" s="45" t="s">
        <v>301</v>
      </c>
    </row>
    <row r="56" spans="1:18" ht="29" x14ac:dyDescent="0.35">
      <c r="A56" s="60" t="s">
        <v>35</v>
      </c>
      <c r="B56" s="33" t="s">
        <v>208</v>
      </c>
      <c r="C56" s="48" t="s">
        <v>74</v>
      </c>
      <c r="D56" s="33"/>
      <c r="E56" s="47"/>
      <c r="F56" s="47"/>
      <c r="G56" s="47"/>
      <c r="H56" s="35">
        <v>1.1000000000000001</v>
      </c>
      <c r="I56" s="35">
        <v>1</v>
      </c>
      <c r="J56" s="35">
        <v>1.1000000000000001</v>
      </c>
      <c r="K56" s="33"/>
      <c r="L56" s="36">
        <v>1</v>
      </c>
      <c r="M56" s="67" t="str">
        <f t="shared" si="2"/>
        <v>gamma_preg_ratio-1</v>
      </c>
      <c r="N56" s="38" t="s">
        <v>102</v>
      </c>
      <c r="O56" s="33" t="s">
        <v>358</v>
      </c>
      <c r="P56" s="39" t="s">
        <v>338</v>
      </c>
      <c r="Q56" s="33" t="s">
        <v>276</v>
      </c>
      <c r="R56" s="39" t="s">
        <v>302</v>
      </c>
    </row>
    <row r="57" spans="1:18" ht="43.5" x14ac:dyDescent="0.35">
      <c r="A57" s="60" t="s">
        <v>35</v>
      </c>
      <c r="B57" s="40" t="s">
        <v>209</v>
      </c>
      <c r="C57" s="41" t="s">
        <v>130</v>
      </c>
      <c r="D57" s="40" t="s">
        <v>5</v>
      </c>
      <c r="E57" s="40" t="s">
        <v>7</v>
      </c>
      <c r="F57" s="40" t="s">
        <v>6</v>
      </c>
      <c r="G57" s="40" t="s">
        <v>14</v>
      </c>
      <c r="H57" s="68">
        <f>1/(12/365)</f>
        <v>30.416666666666671</v>
      </c>
      <c r="I57" s="68">
        <v>20</v>
      </c>
      <c r="J57" s="68">
        <v>40</v>
      </c>
      <c r="K57" s="40" t="s">
        <v>21</v>
      </c>
      <c r="L57" s="42">
        <v>1</v>
      </c>
      <c r="M57" s="66" t="str">
        <f t="shared" si="2"/>
        <v>tau_m_low-1</v>
      </c>
      <c r="N57" s="44" t="s">
        <v>103</v>
      </c>
      <c r="O57" s="40" t="s">
        <v>313</v>
      </c>
      <c r="P57" s="45" t="s">
        <v>310</v>
      </c>
      <c r="Q57" s="40" t="s">
        <v>313</v>
      </c>
      <c r="R57" s="45" t="s">
        <v>310</v>
      </c>
    </row>
    <row r="58" spans="1:18" ht="43.5" x14ac:dyDescent="0.35">
      <c r="A58" s="60" t="s">
        <v>35</v>
      </c>
      <c r="B58" s="33" t="s">
        <v>210</v>
      </c>
      <c r="C58" s="34" t="s">
        <v>131</v>
      </c>
      <c r="D58" s="33"/>
      <c r="E58" s="33"/>
      <c r="F58" s="33"/>
      <c r="G58" s="33"/>
      <c r="H58" s="68">
        <f>1/(17/365)/H57</f>
        <v>0.70588235294117629</v>
      </c>
      <c r="I58" s="68">
        <v>0.5</v>
      </c>
      <c r="J58" s="68">
        <v>1</v>
      </c>
      <c r="K58" s="33"/>
      <c r="L58" s="36">
        <v>1</v>
      </c>
      <c r="M58" s="67" t="str">
        <f t="shared" si="2"/>
        <v>tau_m_sex_ratio-1</v>
      </c>
      <c r="N58" s="38" t="s">
        <v>104</v>
      </c>
      <c r="O58" s="33" t="s">
        <v>359</v>
      </c>
      <c r="P58" s="39" t="s">
        <v>339</v>
      </c>
      <c r="Q58" s="33" t="s">
        <v>311</v>
      </c>
      <c r="R58" s="39" t="s">
        <v>312</v>
      </c>
    </row>
    <row r="59" spans="1:18" x14ac:dyDescent="0.35">
      <c r="A59" s="60" t="s">
        <v>35</v>
      </c>
      <c r="B59" s="40" t="s">
        <v>109</v>
      </c>
      <c r="C59" s="41" t="s">
        <v>105</v>
      </c>
      <c r="D59" s="40" t="s">
        <v>5</v>
      </c>
      <c r="E59" s="40"/>
      <c r="F59" s="40"/>
      <c r="G59" s="40"/>
      <c r="H59" s="35">
        <v>1</v>
      </c>
      <c r="I59" s="35"/>
      <c r="J59" s="35"/>
      <c r="K59" s="40"/>
      <c r="L59" s="42"/>
      <c r="M59" s="66" t="str">
        <f t="shared" si="2"/>
        <v/>
      </c>
      <c r="N59" s="44"/>
      <c r="O59" s="40"/>
      <c r="P59" s="45"/>
      <c r="Q59" s="40"/>
      <c r="R59" s="45"/>
    </row>
    <row r="60" spans="1:18" x14ac:dyDescent="0.35">
      <c r="A60" s="60" t="s">
        <v>35</v>
      </c>
      <c r="B60" s="33" t="s">
        <v>109</v>
      </c>
      <c r="C60" s="34" t="s">
        <v>105</v>
      </c>
      <c r="D60" s="33" t="s">
        <v>10</v>
      </c>
      <c r="E60" s="33"/>
      <c r="F60" s="33"/>
      <c r="G60" s="33"/>
      <c r="H60" s="35">
        <v>1</v>
      </c>
      <c r="I60" s="35"/>
      <c r="J60" s="35"/>
      <c r="K60" s="33"/>
      <c r="L60" s="36"/>
      <c r="M60" s="67" t="str">
        <f t="shared" si="2"/>
        <v/>
      </c>
      <c r="N60" s="38"/>
      <c r="O60" s="33"/>
      <c r="P60" s="39"/>
      <c r="Q60" s="33"/>
      <c r="R60" s="39"/>
    </row>
    <row r="61" spans="1:18" x14ac:dyDescent="0.35">
      <c r="A61" s="60" t="s">
        <v>35</v>
      </c>
      <c r="B61" s="40" t="s">
        <v>110</v>
      </c>
      <c r="C61" s="41" t="s">
        <v>106</v>
      </c>
      <c r="D61" s="40" t="s">
        <v>5</v>
      </c>
      <c r="E61" s="40"/>
      <c r="F61" s="40"/>
      <c r="G61" s="40"/>
      <c r="H61" s="35">
        <v>1</v>
      </c>
      <c r="I61" s="35"/>
      <c r="J61" s="35"/>
      <c r="K61" s="40"/>
      <c r="L61" s="42"/>
      <c r="M61" s="66" t="str">
        <f t="shared" si="2"/>
        <v/>
      </c>
      <c r="N61" s="44"/>
      <c r="O61" s="40"/>
      <c r="P61" s="45"/>
      <c r="Q61" s="40"/>
      <c r="R61" s="45"/>
    </row>
    <row r="62" spans="1:18" ht="29" x14ac:dyDescent="0.35">
      <c r="A62" s="60" t="s">
        <v>35</v>
      </c>
      <c r="B62" s="33" t="s">
        <v>110</v>
      </c>
      <c r="C62" s="34" t="s">
        <v>106</v>
      </c>
      <c r="D62" s="33" t="s">
        <v>10</v>
      </c>
      <c r="E62" s="33"/>
      <c r="F62" s="33"/>
      <c r="G62" s="33"/>
      <c r="H62" s="69">
        <f>1/H58</f>
        <v>1.416666666666667</v>
      </c>
      <c r="I62" s="69"/>
      <c r="J62" s="69"/>
      <c r="K62" s="33"/>
      <c r="L62" s="36"/>
      <c r="M62" s="67" t="str">
        <f t="shared" ref="M62:M83" si="3">IF(L62="","",C62&amp;"-"&amp;L62)</f>
        <v/>
      </c>
      <c r="N62" s="38" t="s">
        <v>133</v>
      </c>
      <c r="O62" s="33"/>
      <c r="P62" s="39"/>
      <c r="Q62" s="33"/>
      <c r="R62" s="39"/>
    </row>
    <row r="63" spans="1:18" x14ac:dyDescent="0.35">
      <c r="A63" s="60" t="s">
        <v>35</v>
      </c>
      <c r="B63" s="40" t="s">
        <v>111</v>
      </c>
      <c r="C63" s="41" t="s">
        <v>75</v>
      </c>
      <c r="D63" s="40"/>
      <c r="E63" s="40"/>
      <c r="F63" s="40"/>
      <c r="G63" s="40"/>
      <c r="H63" s="35">
        <v>1</v>
      </c>
      <c r="I63" s="35"/>
      <c r="J63" s="35"/>
      <c r="K63" s="40"/>
      <c r="L63" s="42"/>
      <c r="M63" s="66" t="str">
        <f t="shared" si="3"/>
        <v/>
      </c>
      <c r="N63" s="44"/>
      <c r="O63" s="40"/>
      <c r="P63" s="45"/>
      <c r="Q63" s="40"/>
      <c r="R63" s="45"/>
    </row>
    <row r="64" spans="1:18" x14ac:dyDescent="0.35">
      <c r="A64" s="60" t="s">
        <v>35</v>
      </c>
      <c r="B64" s="33" t="s">
        <v>112</v>
      </c>
      <c r="C64" s="34" t="s">
        <v>76</v>
      </c>
      <c r="D64" s="33"/>
      <c r="E64" s="47"/>
      <c r="F64" s="47"/>
      <c r="G64" s="47"/>
      <c r="H64" s="35">
        <v>1</v>
      </c>
      <c r="I64" s="35"/>
      <c r="J64" s="35"/>
      <c r="K64" s="33"/>
      <c r="L64" s="36"/>
      <c r="M64" s="67" t="str">
        <f t="shared" si="3"/>
        <v/>
      </c>
      <c r="N64" s="38"/>
      <c r="O64" s="33"/>
      <c r="P64" s="39"/>
      <c r="Q64" s="33"/>
      <c r="R64" s="39"/>
    </row>
    <row r="65" spans="1:18" ht="72.5" x14ac:dyDescent="0.35">
      <c r="A65" s="70" t="s">
        <v>37</v>
      </c>
      <c r="B65" s="40" t="s">
        <v>211</v>
      </c>
      <c r="C65" s="41" t="s">
        <v>30</v>
      </c>
      <c r="D65" s="40"/>
      <c r="E65" s="40"/>
      <c r="F65" s="40"/>
      <c r="G65" s="40"/>
      <c r="H65" s="35">
        <v>0.9</v>
      </c>
      <c r="I65" s="35">
        <v>0.9</v>
      </c>
      <c r="J65" s="35">
        <v>1</v>
      </c>
      <c r="K65" s="40"/>
      <c r="L65" s="42">
        <v>1</v>
      </c>
      <c r="M65" s="66" t="str">
        <f t="shared" si="3"/>
        <v>e-1</v>
      </c>
      <c r="N65" s="44" t="s">
        <v>62</v>
      </c>
      <c r="O65" s="40" t="s">
        <v>30</v>
      </c>
      <c r="P65" s="45" t="s">
        <v>278</v>
      </c>
      <c r="Q65" s="40" t="s">
        <v>30</v>
      </c>
      <c r="R65" s="45" t="s">
        <v>278</v>
      </c>
    </row>
    <row r="66" spans="1:18" x14ac:dyDescent="0.35">
      <c r="A66" s="70" t="s">
        <v>37</v>
      </c>
      <c r="B66" s="33" t="s">
        <v>212</v>
      </c>
      <c r="C66" s="34" t="s">
        <v>18</v>
      </c>
      <c r="D66" s="33" t="s">
        <v>5</v>
      </c>
      <c r="E66" s="33"/>
      <c r="F66" s="33"/>
      <c r="G66" s="33"/>
      <c r="H66" s="35">
        <v>0.85</v>
      </c>
      <c r="I66" s="35">
        <v>0.8</v>
      </c>
      <c r="J66" s="35">
        <v>0.9</v>
      </c>
      <c r="K66" s="33"/>
      <c r="L66" s="36">
        <v>1</v>
      </c>
      <c r="M66" s="67" t="str">
        <f t="shared" si="3"/>
        <v>zeta-1</v>
      </c>
      <c r="N66" s="38" t="s">
        <v>114</v>
      </c>
      <c r="O66" s="33" t="s">
        <v>230</v>
      </c>
      <c r="P66" s="39" t="s">
        <v>279</v>
      </c>
      <c r="Q66" s="33" t="s">
        <v>230</v>
      </c>
      <c r="R66" s="39" t="s">
        <v>279</v>
      </c>
    </row>
    <row r="67" spans="1:18" x14ac:dyDescent="0.35">
      <c r="A67" s="70" t="s">
        <v>37</v>
      </c>
      <c r="B67" s="40" t="s">
        <v>213</v>
      </c>
      <c r="C67" s="41" t="s">
        <v>18</v>
      </c>
      <c r="D67" s="40" t="s">
        <v>10</v>
      </c>
      <c r="E67" s="40"/>
      <c r="F67" s="40"/>
      <c r="G67" s="40"/>
      <c r="H67" s="35">
        <v>0.45</v>
      </c>
      <c r="I67" s="35">
        <v>0.4</v>
      </c>
      <c r="J67" s="35">
        <v>0.5</v>
      </c>
      <c r="K67" s="40"/>
      <c r="L67" s="42">
        <v>2</v>
      </c>
      <c r="M67" s="66" t="str">
        <f t="shared" si="3"/>
        <v>zeta-2</v>
      </c>
      <c r="N67" s="44"/>
      <c r="O67" s="40" t="s">
        <v>231</v>
      </c>
      <c r="P67" s="45" t="s">
        <v>280</v>
      </c>
      <c r="Q67" s="40" t="s">
        <v>231</v>
      </c>
      <c r="R67" s="45" t="s">
        <v>280</v>
      </c>
    </row>
    <row r="68" spans="1:18" x14ac:dyDescent="0.35">
      <c r="A68" s="70" t="s">
        <v>37</v>
      </c>
      <c r="B68" s="33" t="s">
        <v>214</v>
      </c>
      <c r="C68" s="34" t="s">
        <v>52</v>
      </c>
      <c r="D68" s="33" t="s">
        <v>5</v>
      </c>
      <c r="E68" s="33"/>
      <c r="F68" s="33"/>
      <c r="G68" s="33"/>
      <c r="H68" s="35">
        <v>0.66</v>
      </c>
      <c r="I68" s="35"/>
      <c r="J68" s="35"/>
      <c r="K68" s="33"/>
      <c r="L68" s="36"/>
      <c r="M68" s="67" t="str">
        <f t="shared" si="3"/>
        <v/>
      </c>
      <c r="N68" s="38" t="s">
        <v>115</v>
      </c>
      <c r="O68" s="33"/>
      <c r="P68" s="39"/>
      <c r="Q68" s="33"/>
      <c r="R68" s="39"/>
    </row>
    <row r="69" spans="1:18" x14ac:dyDescent="0.35">
      <c r="A69" s="70" t="s">
        <v>37</v>
      </c>
      <c r="B69" s="40" t="s">
        <v>215</v>
      </c>
      <c r="C69" s="41" t="s">
        <v>52</v>
      </c>
      <c r="D69" s="40" t="s">
        <v>10</v>
      </c>
      <c r="E69" s="40"/>
      <c r="F69" s="40"/>
      <c r="G69" s="40"/>
      <c r="H69" s="35">
        <v>0.74</v>
      </c>
      <c r="I69" s="35"/>
      <c r="J69" s="35"/>
      <c r="K69" s="40"/>
      <c r="L69" s="42"/>
      <c r="M69" s="66" t="str">
        <f t="shared" si="3"/>
        <v/>
      </c>
      <c r="N69" s="44"/>
      <c r="O69" s="40"/>
      <c r="P69" s="45"/>
      <c r="Q69" s="40"/>
      <c r="R69" s="45"/>
    </row>
    <row r="70" spans="1:18" ht="29" x14ac:dyDescent="0.35">
      <c r="A70" s="70" t="s">
        <v>37</v>
      </c>
      <c r="B70" s="33" t="s">
        <v>55</v>
      </c>
      <c r="C70" s="34" t="s">
        <v>56</v>
      </c>
      <c r="D70" s="33" t="s">
        <v>5</v>
      </c>
      <c r="E70" s="33"/>
      <c r="F70" s="33"/>
      <c r="G70" s="33"/>
      <c r="H70" s="35">
        <v>0.85</v>
      </c>
      <c r="I70" s="35"/>
      <c r="J70" s="35"/>
      <c r="K70" s="33"/>
      <c r="L70" s="36"/>
      <c r="M70" s="67" t="str">
        <f t="shared" si="3"/>
        <v/>
      </c>
      <c r="N70" s="38" t="s">
        <v>58</v>
      </c>
      <c r="O70" s="33"/>
      <c r="P70" s="39"/>
      <c r="Q70" s="33"/>
      <c r="R70" s="39"/>
    </row>
    <row r="71" spans="1:18" ht="29" x14ac:dyDescent="0.35">
      <c r="A71" s="70" t="s">
        <v>37</v>
      </c>
      <c r="B71" s="40" t="s">
        <v>55</v>
      </c>
      <c r="C71" s="41" t="s">
        <v>56</v>
      </c>
      <c r="D71" s="40" t="s">
        <v>10</v>
      </c>
      <c r="E71" s="40"/>
      <c r="F71" s="40"/>
      <c r="G71" s="40"/>
      <c r="H71" s="35">
        <v>0.75</v>
      </c>
      <c r="I71" s="35"/>
      <c r="J71" s="35"/>
      <c r="K71" s="40"/>
      <c r="L71" s="42"/>
      <c r="M71" s="66" t="str">
        <f t="shared" si="3"/>
        <v/>
      </c>
      <c r="N71" s="44" t="s">
        <v>57</v>
      </c>
      <c r="O71" s="40"/>
      <c r="P71" s="45"/>
      <c r="Q71" s="40"/>
      <c r="R71" s="45"/>
    </row>
    <row r="72" spans="1:18" ht="43.5" x14ac:dyDescent="0.35">
      <c r="A72" s="70" t="s">
        <v>37</v>
      </c>
      <c r="B72" s="33" t="s">
        <v>216</v>
      </c>
      <c r="C72" s="34" t="s">
        <v>47</v>
      </c>
      <c r="D72" s="33" t="s">
        <v>5</v>
      </c>
      <c r="E72" s="33"/>
      <c r="F72" s="33"/>
      <c r="G72" s="33"/>
      <c r="H72" s="35">
        <v>0.95</v>
      </c>
      <c r="I72" s="35"/>
      <c r="J72" s="35"/>
      <c r="K72" s="33"/>
      <c r="L72" s="36"/>
      <c r="M72" s="67" t="str">
        <f t="shared" si="3"/>
        <v/>
      </c>
      <c r="N72" s="38" t="s">
        <v>46</v>
      </c>
      <c r="O72" s="33"/>
      <c r="P72" s="39"/>
      <c r="Q72" s="33"/>
      <c r="R72" s="39"/>
    </row>
    <row r="73" spans="1:18" ht="43.5" x14ac:dyDescent="0.35">
      <c r="A73" s="70" t="s">
        <v>37</v>
      </c>
      <c r="B73" s="40" t="s">
        <v>217</v>
      </c>
      <c r="C73" s="41" t="s">
        <v>47</v>
      </c>
      <c r="D73" s="40" t="s">
        <v>10</v>
      </c>
      <c r="E73" s="40"/>
      <c r="F73" s="40"/>
      <c r="G73" s="40"/>
      <c r="H73" s="35">
        <v>0.95</v>
      </c>
      <c r="I73" s="35"/>
      <c r="J73" s="35"/>
      <c r="K73" s="40"/>
      <c r="L73" s="42"/>
      <c r="M73" s="66" t="str">
        <f t="shared" si="3"/>
        <v/>
      </c>
      <c r="N73" s="44" t="s">
        <v>46</v>
      </c>
      <c r="O73" s="40"/>
      <c r="P73" s="45"/>
      <c r="Q73" s="40"/>
      <c r="R73" s="45"/>
    </row>
    <row r="74" spans="1:18" x14ac:dyDescent="0.35">
      <c r="A74" s="70" t="s">
        <v>37</v>
      </c>
      <c r="B74" s="33" t="s">
        <v>54</v>
      </c>
      <c r="C74" s="34" t="s">
        <v>53</v>
      </c>
      <c r="D74" s="33" t="s">
        <v>5</v>
      </c>
      <c r="E74" s="33"/>
      <c r="F74" s="33"/>
      <c r="G74" s="33"/>
      <c r="H74" s="35">
        <v>0.98</v>
      </c>
      <c r="I74" s="35"/>
      <c r="J74" s="35"/>
      <c r="K74" s="33"/>
      <c r="L74" s="36"/>
      <c r="M74" s="67" t="str">
        <f t="shared" si="3"/>
        <v/>
      </c>
      <c r="N74" s="38"/>
      <c r="O74" s="33"/>
      <c r="P74" s="39"/>
      <c r="Q74" s="33"/>
      <c r="R74" s="39"/>
    </row>
    <row r="75" spans="1:18" x14ac:dyDescent="0.35">
      <c r="A75" s="70" t="s">
        <v>37</v>
      </c>
      <c r="B75" s="40" t="s">
        <v>54</v>
      </c>
      <c r="C75" s="41" t="s">
        <v>53</v>
      </c>
      <c r="D75" s="40" t="s">
        <v>10</v>
      </c>
      <c r="E75" s="40"/>
      <c r="F75" s="40"/>
      <c r="G75" s="40"/>
      <c r="H75" s="35">
        <v>0.98</v>
      </c>
      <c r="I75" s="35"/>
      <c r="J75" s="35"/>
      <c r="K75" s="40"/>
      <c r="L75" s="42"/>
      <c r="M75" s="66" t="str">
        <f t="shared" si="3"/>
        <v/>
      </c>
      <c r="N75" s="44"/>
      <c r="O75" s="40"/>
      <c r="P75" s="45"/>
      <c r="Q75" s="40"/>
      <c r="R75" s="45"/>
    </row>
    <row r="76" spans="1:18" x14ac:dyDescent="0.35">
      <c r="A76" s="70" t="s">
        <v>37</v>
      </c>
      <c r="B76" s="33" t="s">
        <v>224</v>
      </c>
      <c r="C76" s="34" t="s">
        <v>48</v>
      </c>
      <c r="D76" s="33" t="s">
        <v>5</v>
      </c>
      <c r="E76" s="33"/>
      <c r="F76" s="33"/>
      <c r="G76" s="33"/>
      <c r="H76" s="35">
        <v>0.77</v>
      </c>
      <c r="I76" s="35">
        <v>0.65</v>
      </c>
      <c r="J76" s="35">
        <v>0.8</v>
      </c>
      <c r="K76" s="33"/>
      <c r="L76" s="36">
        <v>1</v>
      </c>
      <c r="M76" s="67" t="str">
        <f t="shared" si="3"/>
        <v>ap-1</v>
      </c>
      <c r="N76" s="38" t="s">
        <v>79</v>
      </c>
      <c r="O76" s="33" t="s">
        <v>232</v>
      </c>
      <c r="P76" s="39" t="s">
        <v>281</v>
      </c>
      <c r="Q76" s="33" t="s">
        <v>232</v>
      </c>
      <c r="R76" s="39" t="s">
        <v>281</v>
      </c>
    </row>
    <row r="77" spans="1:18" x14ac:dyDescent="0.35">
      <c r="A77" s="70" t="s">
        <v>37</v>
      </c>
      <c r="B77" s="40" t="s">
        <v>225</v>
      </c>
      <c r="C77" s="41" t="s">
        <v>48</v>
      </c>
      <c r="D77" s="40" t="s">
        <v>10</v>
      </c>
      <c r="E77" s="40"/>
      <c r="F77" s="40"/>
      <c r="G77" s="40"/>
      <c r="H77" s="35">
        <v>0.1</v>
      </c>
      <c r="I77" s="35">
        <v>0.1</v>
      </c>
      <c r="J77" s="35">
        <v>0.2</v>
      </c>
      <c r="K77" s="40"/>
      <c r="L77" s="42">
        <v>2</v>
      </c>
      <c r="M77" s="66" t="str">
        <f t="shared" si="3"/>
        <v>ap-2</v>
      </c>
      <c r="N77" s="44" t="s">
        <v>78</v>
      </c>
      <c r="O77" s="40" t="s">
        <v>233</v>
      </c>
      <c r="P77" s="45" t="s">
        <v>282</v>
      </c>
      <c r="Q77" s="40" t="s">
        <v>233</v>
      </c>
      <c r="R77" s="45" t="s">
        <v>282</v>
      </c>
    </row>
    <row r="78" spans="1:18" ht="29" x14ac:dyDescent="0.35">
      <c r="A78" s="71" t="s">
        <v>38</v>
      </c>
      <c r="B78" s="33" t="s">
        <v>218</v>
      </c>
      <c r="C78" s="34" t="s">
        <v>16</v>
      </c>
      <c r="D78" s="33" t="s">
        <v>5</v>
      </c>
      <c r="E78" s="33"/>
      <c r="F78" s="33"/>
      <c r="G78" s="33"/>
      <c r="H78" s="49">
        <v>0.25</v>
      </c>
      <c r="I78" s="49">
        <v>0.15</v>
      </c>
      <c r="J78" s="49">
        <v>0.3</v>
      </c>
      <c r="K78" s="33"/>
      <c r="L78" s="50">
        <v>1</v>
      </c>
      <c r="M78" s="67" t="str">
        <f t="shared" si="3"/>
        <v>kappa-1</v>
      </c>
      <c r="N78" s="38" t="s">
        <v>44</v>
      </c>
      <c r="O78" s="33" t="s">
        <v>234</v>
      </c>
      <c r="P78" s="39" t="s">
        <v>283</v>
      </c>
      <c r="Q78" s="33" t="s">
        <v>234</v>
      </c>
      <c r="R78" s="39" t="s">
        <v>283</v>
      </c>
    </row>
    <row r="79" spans="1:18" ht="43.5" x14ac:dyDescent="0.35">
      <c r="A79" s="71" t="s">
        <v>38</v>
      </c>
      <c r="B79" s="40" t="s">
        <v>219</v>
      </c>
      <c r="C79" s="41" t="s">
        <v>16</v>
      </c>
      <c r="D79" s="40" t="s">
        <v>10</v>
      </c>
      <c r="E79" s="40"/>
      <c r="F79" s="40"/>
      <c r="G79" s="40"/>
      <c r="H79" s="49">
        <v>0.3</v>
      </c>
      <c r="I79" s="49">
        <v>0.1</v>
      </c>
      <c r="J79" s="49">
        <v>0.4</v>
      </c>
      <c r="K79" s="40"/>
      <c r="L79" s="53">
        <v>2</v>
      </c>
      <c r="M79" s="66" t="str">
        <f t="shared" si="3"/>
        <v>kappa-2</v>
      </c>
      <c r="N79" s="44" t="s">
        <v>43</v>
      </c>
      <c r="O79" s="40" t="s">
        <v>235</v>
      </c>
      <c r="P79" s="45" t="s">
        <v>284</v>
      </c>
      <c r="Q79" s="40" t="s">
        <v>235</v>
      </c>
      <c r="R79" s="45" t="s">
        <v>284</v>
      </c>
    </row>
    <row r="80" spans="1:18" x14ac:dyDescent="0.35">
      <c r="A80" s="71" t="s">
        <v>38</v>
      </c>
      <c r="B80" s="33" t="s">
        <v>220</v>
      </c>
      <c r="C80" s="34" t="s">
        <v>17</v>
      </c>
      <c r="D80" s="33" t="s">
        <v>5</v>
      </c>
      <c r="E80" s="33"/>
      <c r="F80" s="33"/>
      <c r="G80" s="33"/>
      <c r="H80" s="49">
        <v>0.9</v>
      </c>
      <c r="I80" s="49">
        <v>0.45</v>
      </c>
      <c r="J80" s="49">
        <v>0.9</v>
      </c>
      <c r="K80" s="33"/>
      <c r="L80" s="50">
        <v>1</v>
      </c>
      <c r="M80" s="67" t="str">
        <f t="shared" si="3"/>
        <v>phi-1</v>
      </c>
      <c r="N80" s="38" t="s">
        <v>33</v>
      </c>
      <c r="O80" s="33" t="s">
        <v>236</v>
      </c>
      <c r="P80" s="39" t="s">
        <v>285</v>
      </c>
      <c r="Q80" s="33" t="s">
        <v>236</v>
      </c>
      <c r="R80" s="39" t="s">
        <v>285</v>
      </c>
    </row>
    <row r="81" spans="1:18" x14ac:dyDescent="0.35">
      <c r="A81" s="71" t="s">
        <v>38</v>
      </c>
      <c r="B81" s="40" t="s">
        <v>221</v>
      </c>
      <c r="C81" s="41" t="s">
        <v>17</v>
      </c>
      <c r="D81" s="40" t="s">
        <v>10</v>
      </c>
      <c r="E81" s="40"/>
      <c r="F81" s="40"/>
      <c r="G81" s="40"/>
      <c r="H81" s="49">
        <v>0.6</v>
      </c>
      <c r="I81" s="49">
        <v>0.2</v>
      </c>
      <c r="J81" s="49">
        <v>0.45</v>
      </c>
      <c r="K81" s="40"/>
      <c r="L81" s="53">
        <v>2</v>
      </c>
      <c r="M81" s="66" t="str">
        <f t="shared" si="3"/>
        <v>phi-2</v>
      </c>
      <c r="N81" s="44" t="s">
        <v>32</v>
      </c>
      <c r="O81" s="40" t="s">
        <v>237</v>
      </c>
      <c r="P81" s="45" t="s">
        <v>286</v>
      </c>
      <c r="Q81" s="40" t="s">
        <v>237</v>
      </c>
      <c r="R81" s="45" t="s">
        <v>286</v>
      </c>
    </row>
    <row r="82" spans="1:18" ht="29" x14ac:dyDescent="0.35">
      <c r="A82" s="71" t="s">
        <v>38</v>
      </c>
      <c r="B82" s="33" t="s">
        <v>222</v>
      </c>
      <c r="C82" s="34" t="s">
        <v>49</v>
      </c>
      <c r="D82" s="33"/>
      <c r="E82" s="33"/>
      <c r="F82" s="33"/>
      <c r="G82" s="33"/>
      <c r="H82" s="35">
        <v>2.65</v>
      </c>
      <c r="I82" s="35">
        <v>1.8</v>
      </c>
      <c r="J82" s="35">
        <v>2.8</v>
      </c>
      <c r="K82" s="33" t="s">
        <v>21</v>
      </c>
      <c r="L82" s="36">
        <v>1</v>
      </c>
      <c r="M82" s="67" t="str">
        <f t="shared" si="3"/>
        <v>pi-1</v>
      </c>
      <c r="N82" s="38" t="s">
        <v>51</v>
      </c>
      <c r="O82" s="33" t="s">
        <v>49</v>
      </c>
      <c r="P82" s="39" t="s">
        <v>287</v>
      </c>
      <c r="Q82" s="33" t="s">
        <v>49</v>
      </c>
      <c r="R82" s="39" t="s">
        <v>287</v>
      </c>
    </row>
    <row r="83" spans="1:18" ht="29" x14ac:dyDescent="0.35">
      <c r="A83" s="72" t="s">
        <v>38</v>
      </c>
      <c r="B83" s="73" t="s">
        <v>223</v>
      </c>
      <c r="C83" s="74" t="s">
        <v>50</v>
      </c>
      <c r="D83" s="73"/>
      <c r="E83" s="73"/>
      <c r="F83" s="73"/>
      <c r="G83" s="73"/>
      <c r="H83" s="75">
        <f>1/(1/52)</f>
        <v>52</v>
      </c>
      <c r="I83" s="75">
        <v>26</v>
      </c>
      <c r="J83" s="75">
        <v>52</v>
      </c>
      <c r="K83" s="73" t="s">
        <v>21</v>
      </c>
      <c r="L83" s="76">
        <v>1</v>
      </c>
      <c r="M83" s="77" t="str">
        <f t="shared" si="3"/>
        <v>sigma-1</v>
      </c>
      <c r="N83" s="78" t="s">
        <v>183</v>
      </c>
      <c r="O83" s="73" t="s">
        <v>50</v>
      </c>
      <c r="P83" s="79" t="s">
        <v>288</v>
      </c>
      <c r="Q83" s="73" t="s">
        <v>50</v>
      </c>
      <c r="R83" s="79" t="s">
        <v>288</v>
      </c>
    </row>
  </sheetData>
  <phoneticPr fontId="18" type="noConversion"/>
  <conditionalFormatting sqref="H1:J1048576 L1:M1048576">
    <cfRule type="cellIs" dxfId="6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0011-4726-48AF-823A-619855DAE342}">
  <dimension ref="A1:J9"/>
  <sheetViews>
    <sheetView workbookViewId="0">
      <selection activeCell="N29" sqref="N29"/>
    </sheetView>
  </sheetViews>
  <sheetFormatPr defaultRowHeight="14.5" x14ac:dyDescent="0.35"/>
  <cols>
    <col min="1" max="1" width="9.453125" bestFit="1" customWidth="1"/>
    <col min="2" max="2" width="17.81640625" bestFit="1" customWidth="1"/>
    <col min="3" max="3" width="3.453125" bestFit="1" customWidth="1"/>
    <col min="4" max="4" width="6.453125" bestFit="1" customWidth="1"/>
    <col min="5" max="5" width="3.81640625" bestFit="1" customWidth="1"/>
    <col min="6" max="6" width="5.54296875" bestFit="1" customWidth="1"/>
    <col min="7" max="7" width="11.54296875" bestFit="1" customWidth="1"/>
    <col min="8" max="8" width="8.81640625" bestFit="1" customWidth="1"/>
    <col min="9" max="9" width="4.1796875" bestFit="1" customWidth="1"/>
    <col min="10" max="10" width="5.453125" bestFit="1" customWidth="1"/>
  </cols>
  <sheetData>
    <row r="1" spans="1:10" x14ac:dyDescent="0.35">
      <c r="A1" s="1" t="s">
        <v>34</v>
      </c>
      <c r="B1" s="1" t="s">
        <v>0</v>
      </c>
      <c r="C1" s="1" t="s">
        <v>26</v>
      </c>
      <c r="D1" s="1" t="s">
        <v>1</v>
      </c>
      <c r="E1" s="1" t="s">
        <v>3</v>
      </c>
      <c r="F1" s="1" t="s">
        <v>2</v>
      </c>
      <c r="G1" s="1" t="s">
        <v>45</v>
      </c>
      <c r="H1" s="5" t="s">
        <v>4</v>
      </c>
      <c r="I1" s="1" t="s">
        <v>20</v>
      </c>
      <c r="J1" s="8" t="s">
        <v>25</v>
      </c>
    </row>
    <row r="2" spans="1:10" x14ac:dyDescent="0.35">
      <c r="A2" s="4" t="s">
        <v>36</v>
      </c>
      <c r="B2" s="2" t="s">
        <v>28</v>
      </c>
      <c r="C2" s="1" t="s">
        <v>29</v>
      </c>
      <c r="D2" s="2" t="s">
        <v>5</v>
      </c>
      <c r="E2" s="2"/>
      <c r="F2" s="2" t="s">
        <v>6</v>
      </c>
      <c r="G2" s="2" t="s">
        <v>14</v>
      </c>
      <c r="H2" s="6">
        <v>1041780</v>
      </c>
      <c r="I2" s="2"/>
      <c r="J2" s="3">
        <v>1970</v>
      </c>
    </row>
    <row r="3" spans="1:10" x14ac:dyDescent="0.35">
      <c r="A3" s="4" t="s">
        <v>36</v>
      </c>
      <c r="B3" s="2" t="s">
        <v>28</v>
      </c>
      <c r="C3" s="1" t="s">
        <v>29</v>
      </c>
      <c r="D3" s="2" t="s">
        <v>5</v>
      </c>
      <c r="E3" s="2"/>
      <c r="F3" s="2" t="s">
        <v>6</v>
      </c>
      <c r="G3" s="2" t="s">
        <v>13</v>
      </c>
      <c r="H3" s="6">
        <v>0</v>
      </c>
      <c r="I3" s="2"/>
      <c r="J3" s="3">
        <v>1970</v>
      </c>
    </row>
    <row r="4" spans="1:10" x14ac:dyDescent="0.35">
      <c r="A4" s="4" t="s">
        <v>36</v>
      </c>
      <c r="B4" s="2" t="s">
        <v>28</v>
      </c>
      <c r="C4" s="1" t="s">
        <v>29</v>
      </c>
      <c r="D4" s="2" t="s">
        <v>5</v>
      </c>
      <c r="E4" s="2"/>
      <c r="F4" s="2" t="s">
        <v>9</v>
      </c>
      <c r="G4" s="2" t="s">
        <v>14</v>
      </c>
      <c r="H4" s="6">
        <v>1040530</v>
      </c>
      <c r="I4" s="2"/>
      <c r="J4" s="3">
        <v>1970</v>
      </c>
    </row>
    <row r="5" spans="1:10" x14ac:dyDescent="0.35">
      <c r="A5" s="4" t="s">
        <v>36</v>
      </c>
      <c r="B5" s="2" t="s">
        <v>28</v>
      </c>
      <c r="C5" s="1" t="s">
        <v>29</v>
      </c>
      <c r="D5" s="2" t="s">
        <v>5</v>
      </c>
      <c r="E5" s="2"/>
      <c r="F5" s="2" t="s">
        <v>9</v>
      </c>
      <c r="G5" s="2" t="s">
        <v>13</v>
      </c>
      <c r="H5" s="6">
        <v>0</v>
      </c>
      <c r="I5" s="2"/>
      <c r="J5" s="3">
        <v>1970</v>
      </c>
    </row>
    <row r="6" spans="1:10" x14ac:dyDescent="0.35">
      <c r="A6" s="4" t="s">
        <v>36</v>
      </c>
      <c r="B6" s="2" t="s">
        <v>28</v>
      </c>
      <c r="C6" s="1" t="s">
        <v>29</v>
      </c>
      <c r="D6" s="2" t="s">
        <v>10</v>
      </c>
      <c r="E6" s="2"/>
      <c r="F6" s="2" t="s">
        <v>6</v>
      </c>
      <c r="G6" s="2" t="s">
        <v>14</v>
      </c>
      <c r="H6" s="6">
        <v>833121</v>
      </c>
      <c r="I6" s="2"/>
      <c r="J6" s="3">
        <v>1970</v>
      </c>
    </row>
    <row r="7" spans="1:10" x14ac:dyDescent="0.35">
      <c r="A7" s="4" t="s">
        <v>36</v>
      </c>
      <c r="B7" s="2" t="s">
        <v>28</v>
      </c>
      <c r="C7" s="1" t="s">
        <v>29</v>
      </c>
      <c r="D7" s="2" t="s">
        <v>10</v>
      </c>
      <c r="E7" s="2"/>
      <c r="F7" s="2" t="s">
        <v>6</v>
      </c>
      <c r="G7" s="2" t="s">
        <v>13</v>
      </c>
      <c r="H7" s="6">
        <v>182248</v>
      </c>
      <c r="I7" s="2"/>
      <c r="J7" s="3">
        <v>1970</v>
      </c>
    </row>
    <row r="8" spans="1:10" x14ac:dyDescent="0.35">
      <c r="A8" s="4" t="s">
        <v>36</v>
      </c>
      <c r="B8" s="2" t="s">
        <v>28</v>
      </c>
      <c r="C8" s="1" t="s">
        <v>29</v>
      </c>
      <c r="D8" s="2" t="s">
        <v>10</v>
      </c>
      <c r="E8" s="2"/>
      <c r="F8" s="2" t="s">
        <v>9</v>
      </c>
      <c r="G8" s="2" t="s">
        <v>14</v>
      </c>
      <c r="H8" s="6">
        <v>1007594</v>
      </c>
      <c r="I8" s="2"/>
      <c r="J8" s="3">
        <v>1970</v>
      </c>
    </row>
    <row r="9" spans="1:10" x14ac:dyDescent="0.35">
      <c r="A9" s="4" t="s">
        <v>36</v>
      </c>
      <c r="B9" s="2" t="s">
        <v>28</v>
      </c>
      <c r="C9" s="1" t="s">
        <v>29</v>
      </c>
      <c r="D9" s="2" t="s">
        <v>10</v>
      </c>
      <c r="E9" s="2"/>
      <c r="F9" s="2" t="s">
        <v>9</v>
      </c>
      <c r="G9" s="2" t="s">
        <v>13</v>
      </c>
      <c r="H9" s="6">
        <v>243341</v>
      </c>
      <c r="I9" s="2"/>
      <c r="J9" s="3">
        <v>1970</v>
      </c>
    </row>
  </sheetData>
  <conditionalFormatting sqref="H1:H9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3050-5FFA-47FA-9470-1DC96A280DCD}">
  <dimension ref="A1:AB50"/>
  <sheetViews>
    <sheetView workbookViewId="0">
      <selection activeCell="C4" sqref="C4"/>
    </sheetView>
  </sheetViews>
  <sheetFormatPr defaultRowHeight="14.5" x14ac:dyDescent="0.35"/>
  <cols>
    <col min="1" max="1" width="12.54296875" bestFit="1" customWidth="1"/>
    <col min="23" max="23" width="11.453125" customWidth="1"/>
    <col min="24" max="24" width="15.453125" customWidth="1"/>
    <col min="25" max="25" width="17.26953125" bestFit="1" customWidth="1"/>
    <col min="26" max="26" width="13.1796875" bestFit="1" customWidth="1"/>
  </cols>
  <sheetData>
    <row r="1" spans="1:28" x14ac:dyDescent="0.35">
      <c r="A1" s="17" t="s">
        <v>122</v>
      </c>
      <c r="B1" s="12">
        <v>0.25</v>
      </c>
      <c r="C1" s="12">
        <v>0.35</v>
      </c>
      <c r="E1" t="s">
        <v>122</v>
      </c>
      <c r="G1">
        <f>B1</f>
        <v>0.25</v>
      </c>
      <c r="I1" s="21" t="s">
        <v>7</v>
      </c>
      <c r="J1" s="21" t="s">
        <v>42</v>
      </c>
      <c r="K1" s="21" t="s">
        <v>8</v>
      </c>
      <c r="M1" s="21" t="s">
        <v>155</v>
      </c>
      <c r="N1" s="21" t="s">
        <v>151</v>
      </c>
      <c r="O1" s="21" t="s">
        <v>152</v>
      </c>
      <c r="P1" s="21" t="s">
        <v>153</v>
      </c>
      <c r="Q1" s="21" t="s">
        <v>154</v>
      </c>
      <c r="X1" t="s">
        <v>143</v>
      </c>
      <c r="Y1" t="s">
        <v>149</v>
      </c>
      <c r="Z1" t="s">
        <v>144</v>
      </c>
    </row>
    <row r="2" spans="1:28" x14ac:dyDescent="0.35">
      <c r="A2" s="17" t="s">
        <v>92</v>
      </c>
      <c r="B2" s="12">
        <v>2.2999999999999998</v>
      </c>
      <c r="C2" s="12">
        <v>2.5</v>
      </c>
      <c r="E2" t="s">
        <v>92</v>
      </c>
      <c r="G2">
        <f>B2</f>
        <v>2.2999999999999998</v>
      </c>
      <c r="I2" s="22">
        <f>G1</f>
        <v>0.25</v>
      </c>
      <c r="J2" s="21">
        <f>I2*G2</f>
        <v>0.57499999999999996</v>
      </c>
      <c r="K2" s="21">
        <f>J2*G3</f>
        <v>0.57499999999999996</v>
      </c>
      <c r="M2">
        <f>I2</f>
        <v>0.25</v>
      </c>
      <c r="N2">
        <f>AVERAGE(I2,J2)</f>
        <v>0.41249999999999998</v>
      </c>
      <c r="O2">
        <f>AVERAGE(I2,K2)</f>
        <v>0.41249999999999998</v>
      </c>
      <c r="P2">
        <f>AVERAGE(J2,K2)</f>
        <v>0.57499999999999996</v>
      </c>
      <c r="Q2">
        <f>K2</f>
        <v>0.57499999999999996</v>
      </c>
      <c r="W2" t="s">
        <v>142</v>
      </c>
      <c r="X2">
        <v>0.3</v>
      </c>
      <c r="Y2">
        <v>0.3</v>
      </c>
      <c r="Z2">
        <v>0.3</v>
      </c>
    </row>
    <row r="3" spans="1:28" x14ac:dyDescent="0.35">
      <c r="A3" s="17" t="s">
        <v>93</v>
      </c>
      <c r="B3" s="12">
        <v>1</v>
      </c>
      <c r="C3" s="12">
        <v>1.1499999999999999</v>
      </c>
      <c r="E3" t="s">
        <v>93</v>
      </c>
      <c r="G3">
        <f>B3</f>
        <v>1</v>
      </c>
      <c r="W3" t="s">
        <v>141</v>
      </c>
    </row>
    <row r="4" spans="1:28" x14ac:dyDescent="0.35">
      <c r="A4" s="17" t="s">
        <v>69</v>
      </c>
      <c r="B4" s="12">
        <v>0.85</v>
      </c>
      <c r="C4" s="12">
        <v>1</v>
      </c>
    </row>
    <row r="5" spans="1:28" x14ac:dyDescent="0.35">
      <c r="A5" s="17" t="s">
        <v>70</v>
      </c>
      <c r="B5" s="12">
        <v>0.1</v>
      </c>
      <c r="C5" s="12">
        <v>0.5</v>
      </c>
      <c r="W5" t="s">
        <v>138</v>
      </c>
      <c r="X5">
        <v>8</v>
      </c>
      <c r="Y5">
        <v>5</v>
      </c>
      <c r="Z5">
        <v>3</v>
      </c>
    </row>
    <row r="6" spans="1:28" x14ac:dyDescent="0.35">
      <c r="A6" s="17" t="s">
        <v>70</v>
      </c>
      <c r="B6" s="12">
        <v>0.2</v>
      </c>
      <c r="C6" s="12">
        <v>0.4</v>
      </c>
      <c r="E6" t="s">
        <v>122</v>
      </c>
      <c r="G6">
        <f>B1</f>
        <v>0.25</v>
      </c>
      <c r="I6" s="21" t="s">
        <v>7</v>
      </c>
      <c r="J6" s="21" t="s">
        <v>42</v>
      </c>
      <c r="K6" s="21" t="s">
        <v>8</v>
      </c>
      <c r="L6" s="19"/>
      <c r="M6" s="21" t="s">
        <v>155</v>
      </c>
      <c r="N6" s="21" t="s">
        <v>151</v>
      </c>
      <c r="O6" s="21" t="s">
        <v>152</v>
      </c>
      <c r="P6" s="21" t="s">
        <v>153</v>
      </c>
      <c r="Q6" s="21" t="s">
        <v>154</v>
      </c>
      <c r="R6" s="19"/>
      <c r="S6" s="19"/>
      <c r="T6" s="19"/>
      <c r="U6" s="19"/>
      <c r="V6" s="19"/>
      <c r="W6" t="s">
        <v>150</v>
      </c>
      <c r="Y6">
        <f>Y5+Z5</f>
        <v>8</v>
      </c>
      <c r="Z6">
        <f>Y6</f>
        <v>8</v>
      </c>
    </row>
    <row r="7" spans="1:28" x14ac:dyDescent="0.35">
      <c r="A7" s="17" t="s">
        <v>70</v>
      </c>
      <c r="B7" s="12">
        <v>0.85</v>
      </c>
      <c r="C7" s="12">
        <v>1</v>
      </c>
      <c r="E7" t="s">
        <v>92</v>
      </c>
      <c r="G7">
        <f>B2</f>
        <v>2.2999999999999998</v>
      </c>
      <c r="I7" s="22">
        <f>G6</f>
        <v>0.25</v>
      </c>
      <c r="J7" s="21">
        <f>I7*G7</f>
        <v>0.57499999999999996</v>
      </c>
      <c r="K7" s="21">
        <f>J7*G8</f>
        <v>0.66124999999999989</v>
      </c>
      <c r="M7">
        <f>I7</f>
        <v>0.25</v>
      </c>
      <c r="N7">
        <f>AVERAGE(I7,J7)</f>
        <v>0.41249999999999998</v>
      </c>
      <c r="O7">
        <f>AVERAGE(I7,K7)</f>
        <v>0.45562499999999995</v>
      </c>
      <c r="P7">
        <f>AVERAGE(J7,K7)</f>
        <v>0.61812499999999992</v>
      </c>
      <c r="Q7">
        <f>K7</f>
        <v>0.66124999999999989</v>
      </c>
      <c r="W7" t="s">
        <v>140</v>
      </c>
      <c r="X7">
        <v>1.5</v>
      </c>
      <c r="Y7">
        <v>1.5</v>
      </c>
      <c r="Z7">
        <v>1.5</v>
      </c>
    </row>
    <row r="8" spans="1:28" x14ac:dyDescent="0.35">
      <c r="E8" t="s">
        <v>93</v>
      </c>
      <c r="G8">
        <f>C3</f>
        <v>1.1499999999999999</v>
      </c>
      <c r="W8" t="s">
        <v>148</v>
      </c>
      <c r="X8">
        <v>1</v>
      </c>
      <c r="Y8">
        <f>52*Y7/Y6</f>
        <v>9.75</v>
      </c>
      <c r="Z8">
        <f>52*Z7/Z6</f>
        <v>9.75</v>
      </c>
    </row>
    <row r="9" spans="1:28" x14ac:dyDescent="0.35">
      <c r="W9" t="s">
        <v>139</v>
      </c>
      <c r="X9">
        <v>0.85</v>
      </c>
      <c r="Y9">
        <v>0.75</v>
      </c>
      <c r="Z9">
        <v>0.3</v>
      </c>
    </row>
    <row r="10" spans="1:28" x14ac:dyDescent="0.35">
      <c r="A10" s="11" t="s">
        <v>155</v>
      </c>
      <c r="B10">
        <f>MIN(M1:M37)</f>
        <v>0.25</v>
      </c>
      <c r="C10">
        <f>MAX(M1:M37)</f>
        <v>0.35</v>
      </c>
      <c r="W10" t="s">
        <v>30</v>
      </c>
      <c r="X10">
        <v>0.95</v>
      </c>
      <c r="Y10">
        <v>0.95</v>
      </c>
      <c r="Z10">
        <v>0.95</v>
      </c>
      <c r="AB10" t="s">
        <v>136</v>
      </c>
    </row>
    <row r="11" spans="1:28" x14ac:dyDescent="0.35">
      <c r="A11" s="11" t="s">
        <v>151</v>
      </c>
      <c r="B11">
        <f>MIN(N1:N37)</f>
        <v>0.41249999999999998</v>
      </c>
      <c r="C11">
        <f>MAX(N1:N37)</f>
        <v>0.61250000000000004</v>
      </c>
      <c r="E11" t="s">
        <v>122</v>
      </c>
      <c r="G11">
        <f>B1</f>
        <v>0.25</v>
      </c>
      <c r="I11" s="21" t="s">
        <v>7</v>
      </c>
      <c r="J11" s="21" t="s">
        <v>42</v>
      </c>
      <c r="K11" s="21" t="s">
        <v>8</v>
      </c>
      <c r="M11" s="21" t="s">
        <v>155</v>
      </c>
      <c r="N11" s="21" t="s">
        <v>151</v>
      </c>
      <c r="O11" s="21" t="s">
        <v>152</v>
      </c>
      <c r="P11" s="21" t="s">
        <v>153</v>
      </c>
      <c r="Q11" s="21" t="s">
        <v>154</v>
      </c>
    </row>
    <row r="12" spans="1:28" x14ac:dyDescent="0.35">
      <c r="A12" s="11" t="s">
        <v>152</v>
      </c>
      <c r="B12">
        <f>MIN(O1:O37)</f>
        <v>0.41249999999999998</v>
      </c>
      <c r="C12">
        <f>MAX(O1:O37)</f>
        <v>0.67812499999999987</v>
      </c>
      <c r="E12" t="s">
        <v>92</v>
      </c>
      <c r="G12">
        <f>C2</f>
        <v>2.5</v>
      </c>
      <c r="I12" s="22">
        <f>G11</f>
        <v>0.25</v>
      </c>
      <c r="J12" s="21">
        <f>I12*G12</f>
        <v>0.625</v>
      </c>
      <c r="K12" s="21">
        <f>J12*G13</f>
        <v>0.625</v>
      </c>
      <c r="M12">
        <f>I12</f>
        <v>0.25</v>
      </c>
      <c r="N12">
        <f>AVERAGE(I12,J12)</f>
        <v>0.4375</v>
      </c>
      <c r="O12">
        <f>AVERAGE(I12,K12)</f>
        <v>0.4375</v>
      </c>
      <c r="P12">
        <f>AVERAGE(J12,K12)</f>
        <v>0.625</v>
      </c>
      <c r="Q12">
        <f>K12</f>
        <v>0.625</v>
      </c>
      <c r="AB12" t="s">
        <v>134</v>
      </c>
    </row>
    <row r="13" spans="1:28" x14ac:dyDescent="0.35">
      <c r="A13" s="11" t="s">
        <v>153</v>
      </c>
      <c r="B13">
        <f>MIN(P1:P37)</f>
        <v>0.57499999999999996</v>
      </c>
      <c r="C13">
        <f>MAX(P1:P37)</f>
        <v>0.94062499999999993</v>
      </c>
      <c r="E13" t="s">
        <v>93</v>
      </c>
      <c r="G13">
        <f>B3</f>
        <v>1</v>
      </c>
      <c r="W13" t="s">
        <v>137</v>
      </c>
      <c r="X13">
        <f xml:space="preserve"> 1 - ((1 - (1 - X10) * X2) ^ (X8 * X9)) *   ((1 - X2) ^ (X8 * (1 - X9)))</f>
        <v>6.4194696974191112E-2</v>
      </c>
      <c r="Y13">
        <f xml:space="preserve"> 1 - ((1 - (1 - Y10) * Y2) ^ (Y8 * Y9)) * ((1 - Y2) ^ (Y8 * (1 - Y9)))</f>
        <v>0.62465649251299582</v>
      </c>
      <c r="Z13">
        <f xml:space="preserve"> 1 - ((1 - (1 - Z10) * Z2) ^ (Z8 * Z9)) * ((1 - Z2) ^ (Z8 * (1 - Z9)))</f>
        <v>0.91613222965350893</v>
      </c>
    </row>
    <row r="14" spans="1:28" x14ac:dyDescent="0.35">
      <c r="A14" s="11" t="s">
        <v>154</v>
      </c>
      <c r="B14">
        <f>MIN(Q1:Q37)</f>
        <v>0.57499999999999996</v>
      </c>
      <c r="C14">
        <f>MAX(Q1:Q37)</f>
        <v>1.0062499999999999</v>
      </c>
    </row>
    <row r="15" spans="1:28" x14ac:dyDescent="0.35">
      <c r="W15" t="s">
        <v>135</v>
      </c>
      <c r="X15">
        <f>X13*X5</f>
        <v>0.5135575757935289</v>
      </c>
      <c r="Y15">
        <f>Y13*Y5</f>
        <v>3.1232824625649789</v>
      </c>
      <c r="Z15">
        <f>Z13*Z5</f>
        <v>2.7483966889605269</v>
      </c>
    </row>
    <row r="16" spans="1:28" x14ac:dyDescent="0.35">
      <c r="E16" t="s">
        <v>122</v>
      </c>
      <c r="G16">
        <f>B1</f>
        <v>0.25</v>
      </c>
      <c r="I16" s="21" t="s">
        <v>7</v>
      </c>
      <c r="J16" s="21" t="s">
        <v>42</v>
      </c>
      <c r="K16" s="21" t="s">
        <v>8</v>
      </c>
      <c r="M16" s="21" t="s">
        <v>155</v>
      </c>
      <c r="N16" s="21" t="s">
        <v>151</v>
      </c>
      <c r="O16" s="21" t="s">
        <v>152</v>
      </c>
      <c r="P16" s="21" t="s">
        <v>153</v>
      </c>
      <c r="Q16" s="21" t="s">
        <v>154</v>
      </c>
    </row>
    <row r="17" spans="1:17" x14ac:dyDescent="0.35">
      <c r="A17" s="11" t="s">
        <v>156</v>
      </c>
      <c r="B17">
        <f>B10*B5</f>
        <v>2.5000000000000001E-2</v>
      </c>
      <c r="E17" t="s">
        <v>92</v>
      </c>
      <c r="G17">
        <f>C2</f>
        <v>2.5</v>
      </c>
      <c r="I17" s="22">
        <f>G16</f>
        <v>0.25</v>
      </c>
      <c r="J17" s="21">
        <f>I17*G17</f>
        <v>0.625</v>
      </c>
      <c r="K17" s="21">
        <f>J17*G18</f>
        <v>0.71875</v>
      </c>
      <c r="M17">
        <f>I17</f>
        <v>0.25</v>
      </c>
      <c r="N17">
        <f>AVERAGE(I17,J17)</f>
        <v>0.4375</v>
      </c>
      <c r="O17">
        <f>AVERAGE(I17,K17)</f>
        <v>0.484375</v>
      </c>
      <c r="P17">
        <f>AVERAGE(J17,K17)</f>
        <v>0.671875</v>
      </c>
      <c r="Q17">
        <f>K17</f>
        <v>0.71875</v>
      </c>
    </row>
    <row r="18" spans="1:17" x14ac:dyDescent="0.35">
      <c r="E18" t="s">
        <v>93</v>
      </c>
      <c r="G18">
        <f>C3</f>
        <v>1.1499999999999999</v>
      </c>
    </row>
    <row r="19" spans="1:17" x14ac:dyDescent="0.35">
      <c r="F19" s="20"/>
    </row>
    <row r="21" spans="1:17" x14ac:dyDescent="0.35">
      <c r="E21" t="s">
        <v>122</v>
      </c>
      <c r="G21">
        <f>C1</f>
        <v>0.35</v>
      </c>
      <c r="I21" s="21" t="s">
        <v>7</v>
      </c>
      <c r="J21" s="21" t="s">
        <v>42</v>
      </c>
      <c r="K21" s="21" t="s">
        <v>8</v>
      </c>
      <c r="M21" s="21" t="s">
        <v>155</v>
      </c>
      <c r="N21" s="21" t="s">
        <v>151</v>
      </c>
      <c r="O21" s="21" t="s">
        <v>152</v>
      </c>
      <c r="P21" s="21" t="s">
        <v>153</v>
      </c>
      <c r="Q21" s="21" t="s">
        <v>154</v>
      </c>
    </row>
    <row r="22" spans="1:17" x14ac:dyDescent="0.35">
      <c r="E22" t="s">
        <v>92</v>
      </c>
      <c r="G22">
        <f>B2</f>
        <v>2.2999999999999998</v>
      </c>
      <c r="I22" s="22">
        <f>G21</f>
        <v>0.35</v>
      </c>
      <c r="J22" s="21">
        <f>I22*G22</f>
        <v>0.80499999999999994</v>
      </c>
      <c r="K22" s="21">
        <f>J22*G23</f>
        <v>0.80499999999999994</v>
      </c>
      <c r="M22">
        <f>I22</f>
        <v>0.35</v>
      </c>
      <c r="N22">
        <f>AVERAGE(I22,J22)</f>
        <v>0.5774999999999999</v>
      </c>
      <c r="O22">
        <f>AVERAGE(I22,K22)</f>
        <v>0.5774999999999999</v>
      </c>
      <c r="P22">
        <f>AVERAGE(J22,K22)</f>
        <v>0.80499999999999994</v>
      </c>
      <c r="Q22">
        <f>K22</f>
        <v>0.80499999999999994</v>
      </c>
    </row>
    <row r="23" spans="1:17" x14ac:dyDescent="0.35">
      <c r="E23" t="s">
        <v>93</v>
      </c>
      <c r="G23">
        <f>B3</f>
        <v>1</v>
      </c>
    </row>
    <row r="26" spans="1:17" x14ac:dyDescent="0.35">
      <c r="E26" t="s">
        <v>122</v>
      </c>
      <c r="G26">
        <f>C1</f>
        <v>0.35</v>
      </c>
      <c r="I26" s="21" t="s">
        <v>7</v>
      </c>
      <c r="J26" s="21" t="s">
        <v>42</v>
      </c>
      <c r="K26" s="21" t="s">
        <v>8</v>
      </c>
      <c r="M26" s="21" t="s">
        <v>155</v>
      </c>
      <c r="N26" s="21" t="s">
        <v>151</v>
      </c>
      <c r="O26" s="21" t="s">
        <v>152</v>
      </c>
      <c r="P26" s="21" t="s">
        <v>153</v>
      </c>
      <c r="Q26" s="21" t="s">
        <v>154</v>
      </c>
    </row>
    <row r="27" spans="1:17" x14ac:dyDescent="0.35">
      <c r="E27" t="s">
        <v>92</v>
      </c>
      <c r="G27">
        <f>B2</f>
        <v>2.2999999999999998</v>
      </c>
      <c r="I27" s="22">
        <f>G26</f>
        <v>0.35</v>
      </c>
      <c r="J27" s="21">
        <f>I27*G27</f>
        <v>0.80499999999999994</v>
      </c>
      <c r="K27" s="21">
        <f>J27*G28</f>
        <v>0.92574999999999985</v>
      </c>
      <c r="M27">
        <f>I27</f>
        <v>0.35</v>
      </c>
      <c r="N27">
        <f>AVERAGE(I27,J27)</f>
        <v>0.5774999999999999</v>
      </c>
      <c r="O27">
        <f>AVERAGE(I27,K27)</f>
        <v>0.63787499999999997</v>
      </c>
      <c r="P27">
        <f>AVERAGE(J27,K27)</f>
        <v>0.86537499999999989</v>
      </c>
      <c r="Q27">
        <f>K27</f>
        <v>0.92574999999999985</v>
      </c>
    </row>
    <row r="28" spans="1:17" x14ac:dyDescent="0.35">
      <c r="E28" t="s">
        <v>93</v>
      </c>
      <c r="G28">
        <f>C3</f>
        <v>1.1499999999999999</v>
      </c>
    </row>
    <row r="30" spans="1:17" x14ac:dyDescent="0.35">
      <c r="F30" s="20"/>
    </row>
    <row r="31" spans="1:17" x14ac:dyDescent="0.35">
      <c r="E31" t="s">
        <v>122</v>
      </c>
      <c r="G31">
        <f>C1</f>
        <v>0.35</v>
      </c>
      <c r="I31" s="21" t="s">
        <v>7</v>
      </c>
      <c r="J31" s="21" t="s">
        <v>42</v>
      </c>
      <c r="K31" s="21" t="s">
        <v>8</v>
      </c>
      <c r="M31" s="21" t="s">
        <v>155</v>
      </c>
      <c r="N31" s="21" t="s">
        <v>151</v>
      </c>
      <c r="O31" s="21" t="s">
        <v>152</v>
      </c>
      <c r="P31" s="21" t="s">
        <v>153</v>
      </c>
      <c r="Q31" s="21" t="s">
        <v>154</v>
      </c>
    </row>
    <row r="32" spans="1:17" x14ac:dyDescent="0.35">
      <c r="E32" t="s">
        <v>92</v>
      </c>
      <c r="G32">
        <f>C2</f>
        <v>2.5</v>
      </c>
      <c r="I32" s="22">
        <f>G31</f>
        <v>0.35</v>
      </c>
      <c r="J32" s="21">
        <f>I32*G32</f>
        <v>0.875</v>
      </c>
      <c r="K32" s="21">
        <f>J32*G33</f>
        <v>0.875</v>
      </c>
      <c r="M32">
        <f>I32</f>
        <v>0.35</v>
      </c>
      <c r="N32">
        <f>AVERAGE(I32,J32)</f>
        <v>0.61250000000000004</v>
      </c>
      <c r="O32">
        <f>AVERAGE(I32,K32)</f>
        <v>0.61250000000000004</v>
      </c>
      <c r="P32">
        <f>AVERAGE(J32,K32)</f>
        <v>0.875</v>
      </c>
      <c r="Q32">
        <f>K32</f>
        <v>0.875</v>
      </c>
    </row>
    <row r="33" spans="1:17" x14ac:dyDescent="0.35">
      <c r="E33" t="s">
        <v>93</v>
      </c>
      <c r="G33">
        <f>B3</f>
        <v>1</v>
      </c>
    </row>
    <row r="36" spans="1:17" x14ac:dyDescent="0.35">
      <c r="E36" t="s">
        <v>122</v>
      </c>
      <c r="G36">
        <f>C1</f>
        <v>0.35</v>
      </c>
      <c r="I36" s="21" t="s">
        <v>7</v>
      </c>
      <c r="J36" s="21" t="s">
        <v>42</v>
      </c>
      <c r="K36" s="21" t="s">
        <v>8</v>
      </c>
      <c r="M36" s="21" t="s">
        <v>155</v>
      </c>
      <c r="N36" s="21" t="s">
        <v>151</v>
      </c>
      <c r="O36" s="21" t="s">
        <v>152</v>
      </c>
      <c r="P36" s="21" t="s">
        <v>153</v>
      </c>
      <c r="Q36" s="21" t="s">
        <v>154</v>
      </c>
    </row>
    <row r="37" spans="1:17" x14ac:dyDescent="0.35">
      <c r="E37" t="s">
        <v>92</v>
      </c>
      <c r="G37">
        <f>C2</f>
        <v>2.5</v>
      </c>
      <c r="I37" s="22">
        <f>G36</f>
        <v>0.35</v>
      </c>
      <c r="J37" s="21">
        <f>I37*G37</f>
        <v>0.875</v>
      </c>
      <c r="K37" s="21">
        <f>J37*G38</f>
        <v>1.0062499999999999</v>
      </c>
      <c r="M37">
        <f>I37</f>
        <v>0.35</v>
      </c>
      <c r="N37">
        <f>AVERAGE(I37,J37)</f>
        <v>0.61250000000000004</v>
      </c>
      <c r="O37">
        <f>AVERAGE(I37,K37)</f>
        <v>0.67812499999999987</v>
      </c>
      <c r="P37">
        <f>AVERAGE(J37,K37)</f>
        <v>0.94062499999999993</v>
      </c>
      <c r="Q37">
        <f>K37</f>
        <v>1.0062499999999999</v>
      </c>
    </row>
    <row r="38" spans="1:17" x14ac:dyDescent="0.35">
      <c r="E38" t="s">
        <v>93</v>
      </c>
      <c r="G38">
        <f>C3</f>
        <v>1.1499999999999999</v>
      </c>
    </row>
    <row r="40" spans="1:17" x14ac:dyDescent="0.35">
      <c r="F40" s="20"/>
    </row>
    <row r="42" spans="1:17" x14ac:dyDescent="0.35">
      <c r="A42" t="s">
        <v>7</v>
      </c>
      <c r="B42">
        <v>0.15</v>
      </c>
    </row>
    <row r="43" spans="1:17" x14ac:dyDescent="0.35">
      <c r="A43" t="s">
        <v>42</v>
      </c>
      <c r="B43">
        <v>4</v>
      </c>
      <c r="C43">
        <f>B42*B43</f>
        <v>0.6</v>
      </c>
    </row>
    <row r="44" spans="1:17" x14ac:dyDescent="0.35">
      <c r="A44" t="s">
        <v>8</v>
      </c>
      <c r="B44">
        <v>1.3</v>
      </c>
      <c r="C44">
        <f>C43*B44</f>
        <v>0.78</v>
      </c>
    </row>
    <row r="48" spans="1:17" x14ac:dyDescent="0.35">
      <c r="E48" s="19"/>
    </row>
    <row r="50" spans="6:6" x14ac:dyDescent="0.35">
      <c r="F50" s="20"/>
    </row>
  </sheetData>
  <conditionalFormatting sqref="B1:C7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E510-E069-41B4-99ED-A4D7C5EB0D83}">
  <dimension ref="A1:AC51"/>
  <sheetViews>
    <sheetView topLeftCell="I2" workbookViewId="0">
      <selection activeCell="P4" sqref="P4"/>
    </sheetView>
  </sheetViews>
  <sheetFormatPr defaultRowHeight="14.5" x14ac:dyDescent="0.35"/>
  <cols>
    <col min="1" max="1" width="12.54296875" bestFit="1" customWidth="1"/>
    <col min="5" max="5" width="8.7265625" style="20"/>
    <col min="16" max="16" width="11.81640625" bestFit="1" customWidth="1"/>
    <col min="17" max="17" width="13.1796875" bestFit="1" customWidth="1"/>
    <col min="19" max="19" width="11.81640625" bestFit="1" customWidth="1"/>
    <col min="20" max="20" width="17.26953125" bestFit="1" customWidth="1"/>
    <col min="21" max="21" width="13.1796875" bestFit="1" customWidth="1"/>
    <col min="26" max="26" width="17" bestFit="1" customWidth="1"/>
  </cols>
  <sheetData>
    <row r="1" spans="1:29" x14ac:dyDescent="0.35">
      <c r="A1" t="s">
        <v>145</v>
      </c>
      <c r="N1" t="s">
        <v>146</v>
      </c>
      <c r="R1" s="20"/>
      <c r="AA1" t="s">
        <v>157</v>
      </c>
      <c r="AB1" t="s">
        <v>158</v>
      </c>
    </row>
    <row r="2" spans="1:29" x14ac:dyDescent="0.35">
      <c r="A2" s="17" t="s">
        <v>125</v>
      </c>
      <c r="B2" s="12">
        <v>1</v>
      </c>
      <c r="C2" s="12">
        <v>1.2</v>
      </c>
      <c r="E2" s="10" t="s">
        <v>125</v>
      </c>
      <c r="G2">
        <f>B2</f>
        <v>1</v>
      </c>
      <c r="I2" s="21" t="s">
        <v>7</v>
      </c>
      <c r="J2" s="21" t="s">
        <v>42</v>
      </c>
      <c r="K2" s="21" t="s">
        <v>8</v>
      </c>
      <c r="N2" s="17" t="s">
        <v>125</v>
      </c>
      <c r="O2" s="12">
        <v>1</v>
      </c>
      <c r="P2" s="12">
        <v>1.2</v>
      </c>
      <c r="R2" s="10" t="s">
        <v>125</v>
      </c>
      <c r="T2">
        <f>O2</f>
        <v>1</v>
      </c>
      <c r="V2" s="21" t="s">
        <v>7</v>
      </c>
      <c r="W2" s="21" t="s">
        <v>42</v>
      </c>
      <c r="X2" s="21" t="s">
        <v>8</v>
      </c>
      <c r="AA2">
        <v>1000</v>
      </c>
      <c r="AB2">
        <v>1000</v>
      </c>
    </row>
    <row r="3" spans="1:29" x14ac:dyDescent="0.35">
      <c r="A3" s="17" t="s">
        <v>80</v>
      </c>
      <c r="B3" s="12">
        <v>3</v>
      </c>
      <c r="C3" s="12">
        <v>6</v>
      </c>
      <c r="E3" s="10" t="s">
        <v>80</v>
      </c>
      <c r="G3">
        <f>B3</f>
        <v>3</v>
      </c>
      <c r="I3" s="22">
        <f>G2</f>
        <v>1</v>
      </c>
      <c r="J3" s="21">
        <f>I3*G3</f>
        <v>3</v>
      </c>
      <c r="K3" s="21">
        <f>J3*G4</f>
        <v>6</v>
      </c>
      <c r="N3" s="17" t="s">
        <v>80</v>
      </c>
      <c r="O3" s="12">
        <v>3</v>
      </c>
      <c r="P3" s="12">
        <v>6</v>
      </c>
      <c r="R3" s="10" t="s">
        <v>80</v>
      </c>
      <c r="T3">
        <f>O3</f>
        <v>3</v>
      </c>
      <c r="V3" s="22">
        <f>T2</f>
        <v>1</v>
      </c>
      <c r="W3" s="21">
        <f>V3*T3</f>
        <v>3</v>
      </c>
      <c r="X3" s="21">
        <f>W3*T4</f>
        <v>30</v>
      </c>
      <c r="Z3" t="s">
        <v>159</v>
      </c>
      <c r="AA3">
        <v>0.15</v>
      </c>
      <c r="AB3">
        <v>0.02</v>
      </c>
    </row>
    <row r="4" spans="1:29" x14ac:dyDescent="0.35">
      <c r="A4" s="17" t="s">
        <v>81</v>
      </c>
      <c r="B4" s="12">
        <v>2</v>
      </c>
      <c r="C4" s="12">
        <v>4</v>
      </c>
      <c r="E4" s="10" t="s">
        <v>81</v>
      </c>
      <c r="G4">
        <f>B4</f>
        <v>2</v>
      </c>
      <c r="N4" s="17" t="s">
        <v>81</v>
      </c>
      <c r="O4" s="12">
        <v>10</v>
      </c>
      <c r="P4" s="12">
        <v>25</v>
      </c>
      <c r="R4" s="10" t="s">
        <v>81</v>
      </c>
      <c r="T4">
        <f>O4</f>
        <v>10</v>
      </c>
      <c r="Z4" t="s">
        <v>160</v>
      </c>
      <c r="AA4">
        <v>10</v>
      </c>
      <c r="AB4">
        <v>120</v>
      </c>
    </row>
    <row r="5" spans="1:29" x14ac:dyDescent="0.35">
      <c r="A5" s="17"/>
      <c r="B5" s="10"/>
      <c r="C5" s="10"/>
      <c r="N5" s="17"/>
      <c r="O5" s="10"/>
      <c r="P5" s="10"/>
      <c r="R5" s="20"/>
    </row>
    <row r="6" spans="1:29" x14ac:dyDescent="0.35">
      <c r="A6" s="17"/>
      <c r="B6" s="10"/>
      <c r="C6" s="10"/>
      <c r="N6" s="17"/>
      <c r="O6" s="10"/>
      <c r="P6" s="10"/>
      <c r="R6" s="20"/>
      <c r="Z6" t="s">
        <v>161</v>
      </c>
      <c r="AA6">
        <f>AA2*AA3*AA4</f>
        <v>1500</v>
      </c>
      <c r="AB6">
        <f>AB2*AB3*AB4</f>
        <v>2400</v>
      </c>
      <c r="AC6">
        <f>(AA6+AB6)/2</f>
        <v>1950</v>
      </c>
    </row>
    <row r="7" spans="1:29" x14ac:dyDescent="0.35">
      <c r="A7" s="17"/>
      <c r="B7" s="10"/>
      <c r="C7" s="10"/>
      <c r="E7" s="10" t="s">
        <v>125</v>
      </c>
      <c r="G7">
        <f>B2</f>
        <v>1</v>
      </c>
      <c r="I7" s="21" t="s">
        <v>7</v>
      </c>
      <c r="J7" s="21" t="s">
        <v>42</v>
      </c>
      <c r="K7" s="21" t="s">
        <v>8</v>
      </c>
      <c r="L7" s="19"/>
      <c r="M7" s="19"/>
      <c r="N7" s="17"/>
      <c r="O7" s="10"/>
      <c r="P7" s="10"/>
      <c r="R7" s="10" t="s">
        <v>125</v>
      </c>
      <c r="T7">
        <f>O2</f>
        <v>1</v>
      </c>
      <c r="V7" s="21" t="s">
        <v>7</v>
      </c>
      <c r="W7" s="21" t="s">
        <v>42</v>
      </c>
      <c r="X7" s="21" t="s">
        <v>8</v>
      </c>
      <c r="Z7" s="21" t="s">
        <v>162</v>
      </c>
      <c r="AA7" s="24">
        <f>AC6/(AA2*AA3)</f>
        <v>13</v>
      </c>
      <c r="AB7" s="24">
        <f>AC6/(AB2*AB3)</f>
        <v>97.5</v>
      </c>
    </row>
    <row r="8" spans="1:29" x14ac:dyDescent="0.35">
      <c r="A8" s="17"/>
      <c r="B8" s="10"/>
      <c r="C8" s="10"/>
      <c r="E8" s="10" t="s">
        <v>80</v>
      </c>
      <c r="G8">
        <f>B3</f>
        <v>3</v>
      </c>
      <c r="I8" s="22">
        <f>G7</f>
        <v>1</v>
      </c>
      <c r="J8" s="21">
        <f>I8*G8</f>
        <v>3</v>
      </c>
      <c r="K8" s="21">
        <f>J8*G9</f>
        <v>12</v>
      </c>
      <c r="N8" s="17"/>
      <c r="O8" s="10"/>
      <c r="P8" s="10"/>
      <c r="R8" s="10" t="s">
        <v>80</v>
      </c>
      <c r="T8">
        <f>O3</f>
        <v>3</v>
      </c>
      <c r="V8" s="22">
        <f>T7</f>
        <v>1</v>
      </c>
      <c r="W8" s="21">
        <f>V8*T8</f>
        <v>3</v>
      </c>
      <c r="X8" s="21">
        <f>W8*T9</f>
        <v>75</v>
      </c>
    </row>
    <row r="9" spans="1:29" x14ac:dyDescent="0.35">
      <c r="E9" s="10" t="s">
        <v>81</v>
      </c>
      <c r="G9">
        <f>C4</f>
        <v>4</v>
      </c>
      <c r="R9" s="10" t="s">
        <v>81</v>
      </c>
      <c r="T9">
        <f>P4</f>
        <v>25</v>
      </c>
    </row>
    <row r="10" spans="1:29" x14ac:dyDescent="0.35">
      <c r="R10" s="20"/>
    </row>
    <row r="11" spans="1:29" x14ac:dyDescent="0.35">
      <c r="R11" s="20"/>
    </row>
    <row r="12" spans="1:29" x14ac:dyDescent="0.35">
      <c r="E12" s="10" t="s">
        <v>125</v>
      </c>
      <c r="G12">
        <f>B2</f>
        <v>1</v>
      </c>
      <c r="I12" s="21" t="s">
        <v>7</v>
      </c>
      <c r="J12" s="21" t="s">
        <v>42</v>
      </c>
      <c r="K12" s="21" t="s">
        <v>8</v>
      </c>
      <c r="R12" s="10" t="s">
        <v>125</v>
      </c>
      <c r="T12">
        <f>O2</f>
        <v>1</v>
      </c>
      <c r="V12" s="21" t="s">
        <v>7</v>
      </c>
      <c r="W12" s="21" t="s">
        <v>42</v>
      </c>
      <c r="X12" s="21" t="s">
        <v>8</v>
      </c>
    </row>
    <row r="13" spans="1:29" x14ac:dyDescent="0.35">
      <c r="E13" s="10" t="s">
        <v>80</v>
      </c>
      <c r="G13">
        <f>C3</f>
        <v>6</v>
      </c>
      <c r="I13" s="22">
        <f>G12</f>
        <v>1</v>
      </c>
      <c r="J13" s="21">
        <f>I13*G13</f>
        <v>6</v>
      </c>
      <c r="K13" s="21">
        <f>J13*G14</f>
        <v>12</v>
      </c>
      <c r="R13" s="10" t="s">
        <v>80</v>
      </c>
      <c r="T13">
        <f>P3</f>
        <v>6</v>
      </c>
      <c r="V13" s="22">
        <f>T12</f>
        <v>1</v>
      </c>
      <c r="W13" s="21">
        <f>V13*T13</f>
        <v>6</v>
      </c>
      <c r="X13" s="21">
        <f>W13*T14</f>
        <v>60</v>
      </c>
    </row>
    <row r="14" spans="1:29" x14ac:dyDescent="0.35">
      <c r="E14" s="10" t="s">
        <v>81</v>
      </c>
      <c r="G14">
        <f>B4</f>
        <v>2</v>
      </c>
      <c r="R14" s="10" t="s">
        <v>81</v>
      </c>
      <c r="T14">
        <f>O4</f>
        <v>10</v>
      </c>
    </row>
    <row r="15" spans="1:29" x14ac:dyDescent="0.35">
      <c r="R15" s="20"/>
    </row>
    <row r="16" spans="1:29" x14ac:dyDescent="0.35">
      <c r="R16" s="20"/>
    </row>
    <row r="17" spans="5:24" x14ac:dyDescent="0.35">
      <c r="E17" s="10" t="s">
        <v>125</v>
      </c>
      <c r="G17">
        <f>B2</f>
        <v>1</v>
      </c>
      <c r="I17" s="21" t="s">
        <v>7</v>
      </c>
      <c r="J17" s="21" t="s">
        <v>42</v>
      </c>
      <c r="K17" s="21" t="s">
        <v>8</v>
      </c>
      <c r="R17" s="10" t="s">
        <v>125</v>
      </c>
      <c r="T17">
        <f>O2</f>
        <v>1</v>
      </c>
      <c r="V17" s="21" t="s">
        <v>7</v>
      </c>
      <c r="W17" s="21" t="s">
        <v>42</v>
      </c>
      <c r="X17" s="21" t="s">
        <v>8</v>
      </c>
    </row>
    <row r="18" spans="5:24" x14ac:dyDescent="0.35">
      <c r="E18" s="10" t="s">
        <v>80</v>
      </c>
      <c r="G18">
        <f>C3</f>
        <v>6</v>
      </c>
      <c r="I18" s="22">
        <f>G17</f>
        <v>1</v>
      </c>
      <c r="J18" s="21">
        <f>I18*G18</f>
        <v>6</v>
      </c>
      <c r="K18" s="21">
        <f>J18*G19</f>
        <v>24</v>
      </c>
      <c r="R18" s="10" t="s">
        <v>80</v>
      </c>
      <c r="T18">
        <f>P3</f>
        <v>6</v>
      </c>
      <c r="V18" s="22">
        <f>T17</f>
        <v>1</v>
      </c>
      <c r="W18" s="21">
        <f>V18*T18</f>
        <v>6</v>
      </c>
      <c r="X18" s="21">
        <f>W18*T19</f>
        <v>150</v>
      </c>
    </row>
    <row r="19" spans="5:24" x14ac:dyDescent="0.35">
      <c r="E19" s="10" t="s">
        <v>81</v>
      </c>
      <c r="G19">
        <f>C4</f>
        <v>4</v>
      </c>
      <c r="R19" s="10" t="s">
        <v>81</v>
      </c>
      <c r="T19">
        <f>P4</f>
        <v>25</v>
      </c>
    </row>
    <row r="20" spans="5:24" x14ac:dyDescent="0.35">
      <c r="F20" s="20"/>
      <c r="R20" s="20"/>
      <c r="S20" s="20"/>
    </row>
    <row r="21" spans="5:24" x14ac:dyDescent="0.35">
      <c r="R21" s="20"/>
    </row>
    <row r="22" spans="5:24" x14ac:dyDescent="0.35">
      <c r="E22" s="10" t="s">
        <v>125</v>
      </c>
      <c r="G22">
        <f>C2</f>
        <v>1.2</v>
      </c>
      <c r="I22" s="21" t="s">
        <v>7</v>
      </c>
      <c r="J22" s="21" t="s">
        <v>42</v>
      </c>
      <c r="K22" s="21" t="s">
        <v>8</v>
      </c>
      <c r="R22" s="10" t="s">
        <v>125</v>
      </c>
      <c r="T22">
        <f>P2</f>
        <v>1.2</v>
      </c>
      <c r="V22" s="21" t="s">
        <v>7</v>
      </c>
      <c r="W22" s="21" t="s">
        <v>42</v>
      </c>
      <c r="X22" s="21" t="s">
        <v>8</v>
      </c>
    </row>
    <row r="23" spans="5:24" x14ac:dyDescent="0.35">
      <c r="E23" s="10" t="s">
        <v>80</v>
      </c>
      <c r="G23">
        <f>B3</f>
        <v>3</v>
      </c>
      <c r="I23" s="22">
        <f>G22</f>
        <v>1.2</v>
      </c>
      <c r="J23" s="21">
        <f>I23*G23</f>
        <v>3.5999999999999996</v>
      </c>
      <c r="K23" s="21">
        <f>J23*G24</f>
        <v>7.1999999999999993</v>
      </c>
      <c r="R23" s="10" t="s">
        <v>80</v>
      </c>
      <c r="T23">
        <f>O3</f>
        <v>3</v>
      </c>
      <c r="V23" s="22">
        <f>T22</f>
        <v>1.2</v>
      </c>
      <c r="W23" s="21">
        <f>V23*T23</f>
        <v>3.5999999999999996</v>
      </c>
      <c r="X23" s="21">
        <f>W23*T24</f>
        <v>36</v>
      </c>
    </row>
    <row r="24" spans="5:24" x14ac:dyDescent="0.35">
      <c r="E24" s="10" t="s">
        <v>81</v>
      </c>
      <c r="G24">
        <f>B4</f>
        <v>2</v>
      </c>
      <c r="R24" s="10" t="s">
        <v>81</v>
      </c>
      <c r="T24">
        <f>O4</f>
        <v>10</v>
      </c>
    </row>
    <row r="25" spans="5:24" x14ac:dyDescent="0.35">
      <c r="R25" s="20"/>
    </row>
    <row r="26" spans="5:24" x14ac:dyDescent="0.35">
      <c r="R26" s="20"/>
    </row>
    <row r="27" spans="5:24" x14ac:dyDescent="0.35">
      <c r="E27" s="10" t="s">
        <v>125</v>
      </c>
      <c r="G27">
        <f>C2</f>
        <v>1.2</v>
      </c>
      <c r="I27" s="21" t="s">
        <v>7</v>
      </c>
      <c r="J27" s="21" t="s">
        <v>42</v>
      </c>
      <c r="K27" s="21" t="s">
        <v>8</v>
      </c>
      <c r="R27" s="10" t="s">
        <v>125</v>
      </c>
      <c r="T27">
        <f>P2</f>
        <v>1.2</v>
      </c>
      <c r="V27" s="21" t="s">
        <v>7</v>
      </c>
      <c r="W27" s="21" t="s">
        <v>42</v>
      </c>
      <c r="X27" s="21" t="s">
        <v>8</v>
      </c>
    </row>
    <row r="28" spans="5:24" x14ac:dyDescent="0.35">
      <c r="E28" s="10" t="s">
        <v>80</v>
      </c>
      <c r="G28">
        <f>B3</f>
        <v>3</v>
      </c>
      <c r="I28" s="22">
        <f>G27</f>
        <v>1.2</v>
      </c>
      <c r="J28" s="21">
        <f>I28*G28</f>
        <v>3.5999999999999996</v>
      </c>
      <c r="K28" s="21">
        <f>J28*G29</f>
        <v>14.399999999999999</v>
      </c>
      <c r="R28" s="10" t="s">
        <v>80</v>
      </c>
      <c r="T28">
        <f>O3</f>
        <v>3</v>
      </c>
      <c r="V28" s="22">
        <f>T27</f>
        <v>1.2</v>
      </c>
      <c r="W28" s="21">
        <f>V28*T28</f>
        <v>3.5999999999999996</v>
      </c>
      <c r="X28" s="21">
        <f>W28*T29</f>
        <v>89.999999999999986</v>
      </c>
    </row>
    <row r="29" spans="5:24" x14ac:dyDescent="0.35">
      <c r="E29" s="10" t="s">
        <v>81</v>
      </c>
      <c r="G29">
        <f>C4</f>
        <v>4</v>
      </c>
      <c r="R29" s="10" t="s">
        <v>81</v>
      </c>
      <c r="T29">
        <f>P4</f>
        <v>25</v>
      </c>
    </row>
    <row r="30" spans="5:24" x14ac:dyDescent="0.35">
      <c r="R30" s="20"/>
    </row>
    <row r="31" spans="5:24" x14ac:dyDescent="0.35">
      <c r="F31" s="20"/>
      <c r="R31" s="20"/>
      <c r="S31" s="20"/>
    </row>
    <row r="32" spans="5:24" x14ac:dyDescent="0.35">
      <c r="E32" s="10" t="s">
        <v>125</v>
      </c>
      <c r="G32">
        <f>C2</f>
        <v>1.2</v>
      </c>
      <c r="I32" s="21" t="s">
        <v>7</v>
      </c>
      <c r="J32" s="21" t="s">
        <v>42</v>
      </c>
      <c r="K32" s="21" t="s">
        <v>8</v>
      </c>
      <c r="R32" s="10" t="s">
        <v>125</v>
      </c>
      <c r="T32">
        <f>P2</f>
        <v>1.2</v>
      </c>
      <c r="V32" s="21" t="s">
        <v>7</v>
      </c>
      <c r="W32" s="21" t="s">
        <v>42</v>
      </c>
      <c r="X32" s="21" t="s">
        <v>8</v>
      </c>
    </row>
    <row r="33" spans="5:24" x14ac:dyDescent="0.35">
      <c r="E33" s="10" t="s">
        <v>80</v>
      </c>
      <c r="G33">
        <f>C3</f>
        <v>6</v>
      </c>
      <c r="I33" s="22">
        <f>G32</f>
        <v>1.2</v>
      </c>
      <c r="J33" s="21">
        <f>I33*G33</f>
        <v>7.1999999999999993</v>
      </c>
      <c r="K33" s="21">
        <f>J33*G34</f>
        <v>14.399999999999999</v>
      </c>
      <c r="R33" s="10" t="s">
        <v>80</v>
      </c>
      <c r="T33">
        <f>P3</f>
        <v>6</v>
      </c>
      <c r="V33" s="22">
        <f>T32</f>
        <v>1.2</v>
      </c>
      <c r="W33" s="21">
        <f>V33*T33</f>
        <v>7.1999999999999993</v>
      </c>
      <c r="X33" s="21">
        <f>W33*T34</f>
        <v>72</v>
      </c>
    </row>
    <row r="34" spans="5:24" x14ac:dyDescent="0.35">
      <c r="E34" s="10" t="s">
        <v>81</v>
      </c>
      <c r="G34">
        <f>B4</f>
        <v>2</v>
      </c>
      <c r="R34" s="10" t="s">
        <v>81</v>
      </c>
      <c r="T34">
        <f>O4</f>
        <v>10</v>
      </c>
    </row>
    <row r="35" spans="5:24" x14ac:dyDescent="0.35">
      <c r="R35" s="20"/>
    </row>
    <row r="36" spans="5:24" x14ac:dyDescent="0.35">
      <c r="R36" s="20"/>
    </row>
    <row r="37" spans="5:24" x14ac:dyDescent="0.35">
      <c r="E37" s="10" t="s">
        <v>125</v>
      </c>
      <c r="G37">
        <f>C2</f>
        <v>1.2</v>
      </c>
      <c r="I37" s="21" t="s">
        <v>7</v>
      </c>
      <c r="J37" s="21" t="s">
        <v>42</v>
      </c>
      <c r="K37" s="21" t="s">
        <v>8</v>
      </c>
      <c r="R37" s="10" t="s">
        <v>125</v>
      </c>
      <c r="T37">
        <f>P2</f>
        <v>1.2</v>
      </c>
      <c r="V37" s="21" t="s">
        <v>7</v>
      </c>
      <c r="W37" s="21" t="s">
        <v>42</v>
      </c>
      <c r="X37" s="21" t="s">
        <v>8</v>
      </c>
    </row>
    <row r="38" spans="5:24" x14ac:dyDescent="0.35">
      <c r="E38" s="10" t="s">
        <v>80</v>
      </c>
      <c r="G38">
        <f>C3</f>
        <v>6</v>
      </c>
      <c r="I38" s="22">
        <f>G37</f>
        <v>1.2</v>
      </c>
      <c r="J38" s="21">
        <f>I38*G38</f>
        <v>7.1999999999999993</v>
      </c>
      <c r="K38" s="21">
        <f>J38*G39</f>
        <v>28.799999999999997</v>
      </c>
      <c r="R38" s="10" t="s">
        <v>80</v>
      </c>
      <c r="T38">
        <f>P3</f>
        <v>6</v>
      </c>
      <c r="V38" s="22">
        <f>T37</f>
        <v>1.2</v>
      </c>
      <c r="W38" s="21">
        <f>V38*T38</f>
        <v>7.1999999999999993</v>
      </c>
      <c r="X38" s="21">
        <f>W38*T39</f>
        <v>179.99999999999997</v>
      </c>
    </row>
    <row r="39" spans="5:24" x14ac:dyDescent="0.35">
      <c r="E39" s="10" t="s">
        <v>81</v>
      </c>
      <c r="G39">
        <f>C4</f>
        <v>4</v>
      </c>
      <c r="R39" s="10" t="s">
        <v>81</v>
      </c>
      <c r="T39">
        <f>P4</f>
        <v>25</v>
      </c>
    </row>
    <row r="41" spans="5:24" x14ac:dyDescent="0.35">
      <c r="F41" s="20"/>
    </row>
    <row r="51" spans="6:6" x14ac:dyDescent="0.35">
      <c r="F51" s="20"/>
    </row>
  </sheetData>
  <conditionalFormatting sqref="B2:C8">
    <cfRule type="cellIs" dxfId="3" priority="2" operator="equal">
      <formula>0</formula>
    </cfRule>
  </conditionalFormatting>
  <conditionalFormatting sqref="O2:P8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A17-09B2-47E7-94CC-ABCDCC2B6AAF}">
  <dimension ref="A1:AA39"/>
  <sheetViews>
    <sheetView workbookViewId="0">
      <selection activeCell="C8" sqref="C8"/>
    </sheetView>
  </sheetViews>
  <sheetFormatPr defaultRowHeight="14.5" x14ac:dyDescent="0.35"/>
  <cols>
    <col min="1" max="1" width="18.81640625" customWidth="1"/>
    <col min="5" max="5" width="15.81640625" bestFit="1" customWidth="1"/>
    <col min="26" max="26" width="17.54296875" bestFit="1" customWidth="1"/>
  </cols>
  <sheetData>
    <row r="1" spans="1:27" x14ac:dyDescent="0.35">
      <c r="E1" s="19" t="s">
        <v>167</v>
      </c>
      <c r="L1" s="19" t="s">
        <v>168</v>
      </c>
      <c r="P1" s="19" t="s">
        <v>169</v>
      </c>
      <c r="U1" s="19" t="s">
        <v>172</v>
      </c>
    </row>
    <row r="2" spans="1:27" x14ac:dyDescent="0.35">
      <c r="A2" s="17" t="s">
        <v>129</v>
      </c>
      <c r="B2" s="12">
        <v>0.65</v>
      </c>
      <c r="C2" s="12">
        <v>0.75</v>
      </c>
      <c r="E2" t="s">
        <v>129</v>
      </c>
      <c r="F2">
        <f>B2</f>
        <v>0.65</v>
      </c>
      <c r="H2" s="21" t="s">
        <v>7</v>
      </c>
      <c r="I2" s="21" t="s">
        <v>42</v>
      </c>
      <c r="J2" s="21" t="s">
        <v>8</v>
      </c>
      <c r="L2" s="21" t="s">
        <v>7</v>
      </c>
      <c r="M2" s="21" t="s">
        <v>42</v>
      </c>
      <c r="N2" s="21" t="s">
        <v>8</v>
      </c>
      <c r="O2" s="21"/>
      <c r="P2" s="21"/>
      <c r="Q2" s="21" t="s">
        <v>7</v>
      </c>
      <c r="R2" s="21" t="s">
        <v>42</v>
      </c>
      <c r="S2" s="21" t="s">
        <v>8</v>
      </c>
      <c r="T2" s="21"/>
      <c r="U2" s="21"/>
      <c r="V2" s="21"/>
      <c r="W2" s="21"/>
      <c r="X2" s="21"/>
      <c r="Y2" s="21"/>
    </row>
    <row r="3" spans="1:27" x14ac:dyDescent="0.35">
      <c r="A3" s="17" t="s">
        <v>163</v>
      </c>
      <c r="B3" s="12">
        <v>1</v>
      </c>
      <c r="C3" s="12">
        <v>1.1000000000000001</v>
      </c>
      <c r="E3" t="s">
        <v>98</v>
      </c>
      <c r="F3">
        <f>B3</f>
        <v>1</v>
      </c>
      <c r="H3" s="22">
        <f>F2</f>
        <v>0.65</v>
      </c>
      <c r="I3" s="21">
        <f>H3*F3</f>
        <v>0.65</v>
      </c>
      <c r="J3" s="21">
        <f>I3*F4</f>
        <v>0.65</v>
      </c>
      <c r="L3">
        <f>H3*$C$8</f>
        <v>0.78</v>
      </c>
      <c r="M3">
        <f>I3*$C$8</f>
        <v>0.78</v>
      </c>
      <c r="N3">
        <f>J3*$C$8</f>
        <v>0.78</v>
      </c>
      <c r="P3" t="s">
        <v>170</v>
      </c>
      <c r="Q3" s="23">
        <f>L3*$B$14</f>
        <v>0.54599999999999993</v>
      </c>
      <c r="R3" s="23">
        <f>Q3*$B$15</f>
        <v>0.54599999999999993</v>
      </c>
      <c r="S3" s="23">
        <f>R3*$B$16</f>
        <v>0.54599999999999993</v>
      </c>
      <c r="U3" s="23">
        <f t="shared" ref="U3:W4" si="0">Q3*$C$8</f>
        <v>0.65519999999999989</v>
      </c>
      <c r="V3" s="23">
        <f t="shared" si="0"/>
        <v>0.65519999999999989</v>
      </c>
      <c r="W3" s="23">
        <f t="shared" si="0"/>
        <v>0.65519999999999989</v>
      </c>
      <c r="Z3" s="16" t="s">
        <v>173</v>
      </c>
      <c r="AA3" s="3" t="s">
        <v>101</v>
      </c>
    </row>
    <row r="4" spans="1:27" x14ac:dyDescent="0.35">
      <c r="A4" s="17" t="s">
        <v>165</v>
      </c>
      <c r="B4" s="12">
        <v>1</v>
      </c>
      <c r="C4" s="12">
        <v>1.1000000000000001</v>
      </c>
      <c r="E4" t="s">
        <v>99</v>
      </c>
      <c r="F4">
        <f>B4</f>
        <v>1</v>
      </c>
      <c r="P4" t="s">
        <v>171</v>
      </c>
      <c r="Q4" s="23">
        <f>Q3*$C$9</f>
        <v>0.60060000000000002</v>
      </c>
      <c r="R4" s="23">
        <f>R3*$C$9</f>
        <v>0.60060000000000002</v>
      </c>
      <c r="S4" s="23">
        <f>S3*$C$9</f>
        <v>0.60060000000000002</v>
      </c>
      <c r="U4" s="23">
        <f t="shared" si="0"/>
        <v>0.72072000000000003</v>
      </c>
      <c r="V4" s="23">
        <f t="shared" si="0"/>
        <v>0.72072000000000003</v>
      </c>
      <c r="W4" s="23">
        <f t="shared" si="0"/>
        <v>0.72072000000000003</v>
      </c>
      <c r="Z4" s="16" t="s">
        <v>174</v>
      </c>
      <c r="AA4" s="3" t="s">
        <v>100</v>
      </c>
    </row>
    <row r="5" spans="1:27" x14ac:dyDescent="0.35">
      <c r="Z5" s="16" t="s">
        <v>163</v>
      </c>
      <c r="AA5" s="3"/>
    </row>
    <row r="6" spans="1:27" x14ac:dyDescent="0.35">
      <c r="Z6" s="16" t="s">
        <v>164</v>
      </c>
      <c r="AA6" s="3"/>
    </row>
    <row r="7" spans="1:27" x14ac:dyDescent="0.35">
      <c r="E7" t="s">
        <v>129</v>
      </c>
      <c r="F7">
        <f>B2</f>
        <v>0.65</v>
      </c>
      <c r="H7" s="21" t="s">
        <v>7</v>
      </c>
      <c r="I7" s="21" t="s">
        <v>42</v>
      </c>
      <c r="J7" s="21" t="s">
        <v>8</v>
      </c>
      <c r="K7" s="19"/>
      <c r="L7" s="21" t="s">
        <v>7</v>
      </c>
      <c r="M7" s="21" t="s">
        <v>42</v>
      </c>
      <c r="N7" s="21" t="s">
        <v>8</v>
      </c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16" t="s">
        <v>165</v>
      </c>
      <c r="AA7" s="3"/>
    </row>
    <row r="8" spans="1:27" x14ac:dyDescent="0.35">
      <c r="A8" s="17" t="s">
        <v>73</v>
      </c>
      <c r="B8" s="12">
        <v>1.1000000000000001</v>
      </c>
      <c r="C8" s="12">
        <v>1.2</v>
      </c>
      <c r="E8" t="s">
        <v>98</v>
      </c>
      <c r="F8">
        <f>C3</f>
        <v>1.1000000000000001</v>
      </c>
      <c r="H8" s="22">
        <f>F7</f>
        <v>0.65</v>
      </c>
      <c r="I8" s="21">
        <f>H8*F8</f>
        <v>0.71500000000000008</v>
      </c>
      <c r="J8" s="21">
        <f>I8*F9</f>
        <v>0.71500000000000008</v>
      </c>
      <c r="L8">
        <f>H8*$C$8</f>
        <v>0.78</v>
      </c>
      <c r="M8">
        <f>I8*$C$8</f>
        <v>0.8580000000000001</v>
      </c>
      <c r="N8">
        <f>J8*$C$8</f>
        <v>0.8580000000000001</v>
      </c>
      <c r="Q8" s="23"/>
      <c r="R8" s="23"/>
      <c r="S8" s="23"/>
      <c r="Z8" s="16" t="s">
        <v>166</v>
      </c>
      <c r="AA8" s="3"/>
    </row>
    <row r="9" spans="1:27" x14ac:dyDescent="0.35">
      <c r="A9" s="17" t="s">
        <v>74</v>
      </c>
      <c r="B9" s="12">
        <v>1</v>
      </c>
      <c r="C9" s="12">
        <v>1.1000000000000001</v>
      </c>
      <c r="E9" t="s">
        <v>99</v>
      </c>
      <c r="F9">
        <f>B4</f>
        <v>1</v>
      </c>
      <c r="Q9" s="23"/>
      <c r="R9" s="23"/>
      <c r="S9" s="23"/>
      <c r="Z9" s="16" t="s">
        <v>175</v>
      </c>
      <c r="AA9" s="3" t="s">
        <v>119</v>
      </c>
    </row>
    <row r="10" spans="1:27" x14ac:dyDescent="0.35">
      <c r="Z10" s="16" t="s">
        <v>176</v>
      </c>
      <c r="AA10" s="3" t="s">
        <v>102</v>
      </c>
    </row>
    <row r="11" spans="1:27" x14ac:dyDescent="0.35">
      <c r="A11" s="11"/>
    </row>
    <row r="12" spans="1:27" x14ac:dyDescent="0.35">
      <c r="A12" s="11"/>
      <c r="E12" t="s">
        <v>129</v>
      </c>
      <c r="F12">
        <f>B2</f>
        <v>0.65</v>
      </c>
      <c r="H12" s="21" t="s">
        <v>7</v>
      </c>
      <c r="I12" s="21" t="s">
        <v>42</v>
      </c>
      <c r="J12" s="21" t="s">
        <v>8</v>
      </c>
      <c r="L12" s="21" t="s">
        <v>7</v>
      </c>
      <c r="M12" s="21" t="s">
        <v>42</v>
      </c>
      <c r="N12" s="21" t="s">
        <v>8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7" x14ac:dyDescent="0.35">
      <c r="A13" s="11"/>
      <c r="E13" t="s">
        <v>98</v>
      </c>
      <c r="F13">
        <f>B3</f>
        <v>1</v>
      </c>
      <c r="H13" s="22">
        <f>F12</f>
        <v>0.65</v>
      </c>
      <c r="I13" s="21">
        <f>H13*F13</f>
        <v>0.65</v>
      </c>
      <c r="J13" s="21">
        <f>I13*F14</f>
        <v>0.71500000000000008</v>
      </c>
      <c r="L13">
        <f>H13*$C$8</f>
        <v>0.78</v>
      </c>
      <c r="M13">
        <f>I13*$C$8</f>
        <v>0.78</v>
      </c>
      <c r="N13">
        <f>J13*$C$8</f>
        <v>0.8580000000000001</v>
      </c>
      <c r="Q13" s="23"/>
      <c r="R13" s="23"/>
      <c r="S13" s="23"/>
    </row>
    <row r="14" spans="1:27" x14ac:dyDescent="0.35">
      <c r="A14" s="17" t="s">
        <v>113</v>
      </c>
      <c r="B14" s="12">
        <v>0.7</v>
      </c>
      <c r="C14" s="12">
        <v>0.9</v>
      </c>
      <c r="E14" t="s">
        <v>99</v>
      </c>
      <c r="F14">
        <f>C4</f>
        <v>1.1000000000000001</v>
      </c>
      <c r="Q14" s="23"/>
      <c r="R14" s="23"/>
      <c r="S14" s="23"/>
      <c r="AA14">
        <f>0.6/0.8</f>
        <v>0.74999999999999989</v>
      </c>
    </row>
    <row r="15" spans="1:27" x14ac:dyDescent="0.35">
      <c r="A15" s="17" t="s">
        <v>164</v>
      </c>
      <c r="B15" s="12">
        <v>1</v>
      </c>
      <c r="C15" s="12">
        <v>1.1000000000000001</v>
      </c>
    </row>
    <row r="16" spans="1:27" x14ac:dyDescent="0.35">
      <c r="A16" s="17" t="s">
        <v>166</v>
      </c>
      <c r="B16" s="12">
        <v>1</v>
      </c>
      <c r="C16" s="12">
        <v>1.1000000000000001</v>
      </c>
    </row>
    <row r="17" spans="1:25" x14ac:dyDescent="0.35">
      <c r="E17" t="s">
        <v>129</v>
      </c>
      <c r="F17">
        <f>B2</f>
        <v>0.65</v>
      </c>
      <c r="H17" s="21" t="s">
        <v>7</v>
      </c>
      <c r="I17" s="21" t="s">
        <v>42</v>
      </c>
      <c r="J17" s="21" t="s">
        <v>8</v>
      </c>
      <c r="L17" s="21" t="s">
        <v>7</v>
      </c>
      <c r="M17" s="21" t="s">
        <v>42</v>
      </c>
      <c r="N17" s="21" t="s">
        <v>8</v>
      </c>
      <c r="O17" s="21"/>
      <c r="P17" s="21"/>
      <c r="Q17" s="21" t="s">
        <v>7</v>
      </c>
      <c r="R17" s="21" t="s">
        <v>42</v>
      </c>
      <c r="S17" s="21" t="s">
        <v>8</v>
      </c>
      <c r="T17" s="21"/>
      <c r="U17" s="21"/>
      <c r="V17" s="21"/>
      <c r="W17" s="21"/>
      <c r="X17" s="21"/>
      <c r="Y17" s="21"/>
    </row>
    <row r="18" spans="1:25" x14ac:dyDescent="0.35">
      <c r="A18" s="11"/>
      <c r="E18" t="s">
        <v>98</v>
      </c>
      <c r="F18">
        <f>C3</f>
        <v>1.1000000000000001</v>
      </c>
      <c r="H18" s="22">
        <f>F17</f>
        <v>0.65</v>
      </c>
      <c r="I18" s="21">
        <f>H18*F18</f>
        <v>0.71500000000000008</v>
      </c>
      <c r="J18" s="21">
        <f>I18*F19</f>
        <v>0.7865000000000002</v>
      </c>
      <c r="L18">
        <f>H18*$C$8</f>
        <v>0.78</v>
      </c>
      <c r="M18">
        <f>I18*$C$8</f>
        <v>0.8580000000000001</v>
      </c>
      <c r="N18">
        <f>J18*$C$8</f>
        <v>0.94380000000000019</v>
      </c>
      <c r="P18" t="s">
        <v>170</v>
      </c>
      <c r="Q18" s="23">
        <f>L18*$B$14</f>
        <v>0.54599999999999993</v>
      </c>
      <c r="R18" s="23">
        <f>Q18*$C$15</f>
        <v>0.60060000000000002</v>
      </c>
      <c r="S18" s="23">
        <f>R18*$C$16</f>
        <v>0.66066000000000003</v>
      </c>
      <c r="U18" s="23">
        <f t="shared" ref="U18:W19" si="1">Q18*$C$8</f>
        <v>0.65519999999999989</v>
      </c>
      <c r="V18" s="23">
        <f t="shared" si="1"/>
        <v>0.72072000000000003</v>
      </c>
      <c r="W18" s="23">
        <f t="shared" si="1"/>
        <v>0.79279200000000005</v>
      </c>
    </row>
    <row r="19" spans="1:25" x14ac:dyDescent="0.35">
      <c r="E19" t="s">
        <v>99</v>
      </c>
      <c r="F19">
        <f>C4</f>
        <v>1.1000000000000001</v>
      </c>
      <c r="P19" t="s">
        <v>171</v>
      </c>
      <c r="Q19" s="23">
        <f>Q18*$C$9</f>
        <v>0.60060000000000002</v>
      </c>
      <c r="R19" s="23">
        <f>R18*$C$9</f>
        <v>0.66066000000000003</v>
      </c>
      <c r="S19" s="23">
        <f>S18*$C$9</f>
        <v>0.72672600000000009</v>
      </c>
      <c r="U19" s="23">
        <f t="shared" si="1"/>
        <v>0.72072000000000003</v>
      </c>
      <c r="V19" s="23">
        <f t="shared" si="1"/>
        <v>0.79279200000000005</v>
      </c>
      <c r="W19" s="23">
        <f t="shared" si="1"/>
        <v>0.87207120000000005</v>
      </c>
    </row>
    <row r="22" spans="1:25" x14ac:dyDescent="0.35">
      <c r="E22" t="s">
        <v>129</v>
      </c>
      <c r="F22">
        <f>C2</f>
        <v>0.75</v>
      </c>
      <c r="H22" s="21" t="s">
        <v>7</v>
      </c>
      <c r="I22" s="21" t="s">
        <v>42</v>
      </c>
      <c r="J22" s="21" t="s">
        <v>8</v>
      </c>
      <c r="L22" s="21" t="s">
        <v>7</v>
      </c>
      <c r="M22" s="21" t="s">
        <v>42</v>
      </c>
      <c r="N22" s="21" t="s">
        <v>8</v>
      </c>
      <c r="O22" s="21"/>
      <c r="P22" s="21"/>
      <c r="Q22" s="21" t="s">
        <v>7</v>
      </c>
      <c r="R22" s="21" t="s">
        <v>42</v>
      </c>
      <c r="S22" s="21" t="s">
        <v>8</v>
      </c>
      <c r="T22" s="21"/>
      <c r="U22" s="21"/>
      <c r="V22" s="21"/>
      <c r="W22" s="21"/>
      <c r="X22" s="21"/>
      <c r="Y22" s="21"/>
    </row>
    <row r="23" spans="1:25" x14ac:dyDescent="0.35">
      <c r="E23" t="s">
        <v>98</v>
      </c>
      <c r="F23">
        <f>B3</f>
        <v>1</v>
      </c>
      <c r="H23" s="22">
        <f>F22</f>
        <v>0.75</v>
      </c>
      <c r="I23" s="21">
        <f>H23*F23</f>
        <v>0.75</v>
      </c>
      <c r="J23" s="21">
        <f>I23*F24</f>
        <v>0.75</v>
      </c>
      <c r="L23">
        <f>H23*$C$8</f>
        <v>0.89999999999999991</v>
      </c>
      <c r="M23">
        <f>I23*$C$8</f>
        <v>0.89999999999999991</v>
      </c>
      <c r="N23">
        <f>J23*$C$8</f>
        <v>0.89999999999999991</v>
      </c>
      <c r="P23" t="s">
        <v>170</v>
      </c>
      <c r="Q23" s="23">
        <f>L23*$B$14</f>
        <v>0.62999999999999989</v>
      </c>
      <c r="R23" s="23">
        <f>Q23*$B$15</f>
        <v>0.62999999999999989</v>
      </c>
      <c r="S23" s="23">
        <f>R23*$B$16</f>
        <v>0.62999999999999989</v>
      </c>
      <c r="U23" s="23">
        <f t="shared" ref="U23:W24" si="2">Q23*$C$8</f>
        <v>0.75599999999999989</v>
      </c>
      <c r="V23" s="23">
        <f t="shared" si="2"/>
        <v>0.75599999999999989</v>
      </c>
      <c r="W23" s="23">
        <f t="shared" si="2"/>
        <v>0.75599999999999989</v>
      </c>
    </row>
    <row r="24" spans="1:25" x14ac:dyDescent="0.35">
      <c r="E24" t="s">
        <v>99</v>
      </c>
      <c r="F24">
        <f>B4</f>
        <v>1</v>
      </c>
      <c r="P24" t="s">
        <v>171</v>
      </c>
      <c r="Q24" s="23">
        <f>Q23*$C$9</f>
        <v>0.69299999999999995</v>
      </c>
      <c r="R24" s="23">
        <f>R23*$C$9</f>
        <v>0.69299999999999995</v>
      </c>
      <c r="S24" s="23">
        <f>S23*$C$9</f>
        <v>0.69299999999999995</v>
      </c>
      <c r="U24" s="23">
        <f t="shared" si="2"/>
        <v>0.83159999999999989</v>
      </c>
      <c r="V24" s="23">
        <f t="shared" si="2"/>
        <v>0.83159999999999989</v>
      </c>
      <c r="W24" s="23">
        <f t="shared" si="2"/>
        <v>0.83159999999999989</v>
      </c>
    </row>
    <row r="27" spans="1:25" x14ac:dyDescent="0.35">
      <c r="E27" t="s">
        <v>129</v>
      </c>
      <c r="F27">
        <f>C2</f>
        <v>0.75</v>
      </c>
      <c r="H27" s="21" t="s">
        <v>7</v>
      </c>
      <c r="I27" s="21" t="s">
        <v>42</v>
      </c>
      <c r="J27" s="21" t="s">
        <v>8</v>
      </c>
      <c r="L27" s="21" t="s">
        <v>7</v>
      </c>
      <c r="M27" s="21" t="s">
        <v>42</v>
      </c>
      <c r="N27" s="21" t="s">
        <v>8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x14ac:dyDescent="0.35">
      <c r="E28" t="s">
        <v>98</v>
      </c>
      <c r="F28">
        <f>C3</f>
        <v>1.1000000000000001</v>
      </c>
      <c r="H28" s="22">
        <f>F27</f>
        <v>0.75</v>
      </c>
      <c r="I28" s="21">
        <f>H28*F28</f>
        <v>0.82500000000000007</v>
      </c>
      <c r="J28" s="21">
        <f>I28*F29</f>
        <v>0.82500000000000007</v>
      </c>
      <c r="L28">
        <f>H28*$C$8</f>
        <v>0.89999999999999991</v>
      </c>
      <c r="M28">
        <f>I28*$C$8</f>
        <v>0.99</v>
      </c>
      <c r="N28">
        <f>J28*$C$8</f>
        <v>0.99</v>
      </c>
      <c r="Q28" s="23"/>
      <c r="R28" s="23"/>
      <c r="S28" s="23"/>
    </row>
    <row r="29" spans="1:25" x14ac:dyDescent="0.35">
      <c r="E29" t="s">
        <v>99</v>
      </c>
      <c r="F29">
        <f>B4</f>
        <v>1</v>
      </c>
      <c r="Q29" s="23"/>
      <c r="R29" s="23"/>
      <c r="S29" s="23"/>
    </row>
    <row r="32" spans="1:25" x14ac:dyDescent="0.35">
      <c r="E32" t="s">
        <v>129</v>
      </c>
      <c r="F32">
        <f>C2</f>
        <v>0.75</v>
      </c>
      <c r="H32" s="21" t="s">
        <v>7</v>
      </c>
      <c r="I32" s="21" t="s">
        <v>42</v>
      </c>
      <c r="J32" s="21" t="s">
        <v>8</v>
      </c>
      <c r="L32" s="21" t="s">
        <v>7</v>
      </c>
      <c r="M32" s="21" t="s">
        <v>42</v>
      </c>
      <c r="N32" s="21" t="s">
        <v>8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5:25" x14ac:dyDescent="0.35">
      <c r="E33" t="s">
        <v>98</v>
      </c>
      <c r="F33">
        <f>B3</f>
        <v>1</v>
      </c>
      <c r="H33" s="22">
        <f>F32</f>
        <v>0.75</v>
      </c>
      <c r="I33" s="21">
        <f>H33*F33</f>
        <v>0.75</v>
      </c>
      <c r="J33" s="21">
        <f>I33*F34</f>
        <v>0.82500000000000007</v>
      </c>
      <c r="L33">
        <f>H33*$C$8</f>
        <v>0.89999999999999991</v>
      </c>
      <c r="M33">
        <f>I33*$C$8</f>
        <v>0.89999999999999991</v>
      </c>
      <c r="N33">
        <f>J33*$C$8</f>
        <v>0.99</v>
      </c>
      <c r="Q33" s="23"/>
      <c r="R33" s="23"/>
      <c r="S33" s="23"/>
    </row>
    <row r="34" spans="5:25" x14ac:dyDescent="0.35">
      <c r="E34" t="s">
        <v>99</v>
      </c>
      <c r="F34">
        <f>C4</f>
        <v>1.1000000000000001</v>
      </c>
      <c r="Q34" s="23"/>
      <c r="R34" s="23"/>
      <c r="S34" s="23"/>
    </row>
    <row r="37" spans="5:25" x14ac:dyDescent="0.35">
      <c r="E37" t="s">
        <v>129</v>
      </c>
      <c r="F37">
        <f>C2</f>
        <v>0.75</v>
      </c>
      <c r="H37" s="21" t="s">
        <v>7</v>
      </c>
      <c r="I37" s="21" t="s">
        <v>42</v>
      </c>
      <c r="J37" s="21" t="s">
        <v>8</v>
      </c>
      <c r="L37" s="21" t="s">
        <v>7</v>
      </c>
      <c r="M37" s="21" t="s">
        <v>42</v>
      </c>
      <c r="N37" s="21" t="s">
        <v>8</v>
      </c>
      <c r="O37" s="21"/>
      <c r="P37" s="21"/>
      <c r="Q37" s="21" t="s">
        <v>7</v>
      </c>
      <c r="R37" s="21" t="s">
        <v>42</v>
      </c>
      <c r="S37" s="21" t="s">
        <v>8</v>
      </c>
      <c r="T37" s="21"/>
      <c r="U37" s="21"/>
      <c r="V37" s="21"/>
      <c r="W37" s="21"/>
      <c r="X37" s="21"/>
      <c r="Y37" s="21"/>
    </row>
    <row r="38" spans="5:25" x14ac:dyDescent="0.35">
      <c r="E38" t="s">
        <v>98</v>
      </c>
      <c r="F38">
        <f>C3</f>
        <v>1.1000000000000001</v>
      </c>
      <c r="H38" s="22">
        <f>F37</f>
        <v>0.75</v>
      </c>
      <c r="I38" s="21">
        <f>H38*F38</f>
        <v>0.82500000000000007</v>
      </c>
      <c r="J38" s="21">
        <f>I38*F39</f>
        <v>0.9075000000000002</v>
      </c>
      <c r="L38">
        <f>H38*$C$8</f>
        <v>0.89999999999999991</v>
      </c>
      <c r="M38">
        <f>I38*$C$8</f>
        <v>0.99</v>
      </c>
      <c r="N38">
        <f>J38*$C$8</f>
        <v>1.0890000000000002</v>
      </c>
      <c r="P38" t="s">
        <v>170</v>
      </c>
      <c r="Q38" s="23">
        <f>L38*$B$14</f>
        <v>0.62999999999999989</v>
      </c>
      <c r="R38" s="23">
        <f>Q38*$C$15</f>
        <v>0.69299999999999995</v>
      </c>
      <c r="S38" s="23">
        <f>R38*$C$16</f>
        <v>0.76229999999999998</v>
      </c>
      <c r="U38" s="23">
        <f t="shared" ref="U38:W39" si="3">Q38*$C$8</f>
        <v>0.75599999999999989</v>
      </c>
      <c r="V38" s="23">
        <f t="shared" si="3"/>
        <v>0.83159999999999989</v>
      </c>
      <c r="W38" s="23">
        <f t="shared" si="3"/>
        <v>0.91475999999999991</v>
      </c>
    </row>
    <row r="39" spans="5:25" x14ac:dyDescent="0.35">
      <c r="E39" t="s">
        <v>99</v>
      </c>
      <c r="F39">
        <f>C4</f>
        <v>1.1000000000000001</v>
      </c>
      <c r="P39" t="s">
        <v>171</v>
      </c>
      <c r="Q39" s="23">
        <f>Q38*$C$9</f>
        <v>0.69299999999999995</v>
      </c>
      <c r="R39" s="23">
        <f>R38*$C$9</f>
        <v>0.76229999999999998</v>
      </c>
      <c r="S39" s="23">
        <f>S38*$C$9</f>
        <v>0.83853</v>
      </c>
      <c r="U39" s="23">
        <f t="shared" si="3"/>
        <v>0.83159999999999989</v>
      </c>
      <c r="V39" s="23">
        <f t="shared" si="3"/>
        <v>0.91475999999999991</v>
      </c>
      <c r="W39" s="23">
        <f t="shared" si="3"/>
        <v>1.0062359999999999</v>
      </c>
    </row>
  </sheetData>
  <conditionalFormatting sqref="B2:C4 Z3:Z10 B14:C16">
    <cfRule type="cellIs" dxfId="1" priority="4" operator="equal">
      <formula>0</formula>
    </cfRule>
  </conditionalFormatting>
  <conditionalFormatting sqref="B8:C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E950-34EF-4581-8584-5F4DE0817428}">
  <dimension ref="A1:F8"/>
  <sheetViews>
    <sheetView workbookViewId="0">
      <selection activeCell="B6" sqref="B6"/>
    </sheetView>
  </sheetViews>
  <sheetFormatPr defaultRowHeight="14.5" x14ac:dyDescent="0.35"/>
  <cols>
    <col min="1" max="1" width="20.1796875" bestFit="1" customWidth="1"/>
    <col min="3" max="3" width="9.26953125" bestFit="1" customWidth="1"/>
  </cols>
  <sheetData>
    <row r="1" spans="1:6" x14ac:dyDescent="0.35">
      <c r="B1" t="s">
        <v>180</v>
      </c>
      <c r="C1" t="s">
        <v>181</v>
      </c>
    </row>
    <row r="2" spans="1:6" x14ac:dyDescent="0.35">
      <c r="A2" t="s">
        <v>179</v>
      </c>
      <c r="B2">
        <v>7</v>
      </c>
      <c r="C2">
        <v>10</v>
      </c>
    </row>
    <row r="3" spans="1:6" x14ac:dyDescent="0.35">
      <c r="A3" t="s">
        <v>178</v>
      </c>
      <c r="B3">
        <v>3</v>
      </c>
      <c r="C3">
        <v>8</v>
      </c>
    </row>
    <row r="4" spans="1:6" x14ac:dyDescent="0.35">
      <c r="B4">
        <f>SUM(B2:B3)</f>
        <v>10</v>
      </c>
      <c r="C4">
        <f>SUM(C2:C3)</f>
        <v>18</v>
      </c>
      <c r="F4">
        <v>14</v>
      </c>
    </row>
    <row r="6" spans="1:6" x14ac:dyDescent="0.35">
      <c r="A6" t="s">
        <v>182</v>
      </c>
      <c r="B6">
        <f>1/(B4/365)</f>
        <v>36.5</v>
      </c>
      <c r="C6">
        <f>1/(C4/365)</f>
        <v>20.277777777777779</v>
      </c>
      <c r="F6">
        <f>1/(F4/365)</f>
        <v>26.071428571428569</v>
      </c>
    </row>
    <row r="8" spans="1:6" x14ac:dyDescent="0.35">
      <c r="C8">
        <f>C6/B6</f>
        <v>0.55555555555555558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</vt:lpstr>
      <vt:lpstr>init</vt:lpstr>
      <vt:lpstr>chi</vt:lpstr>
      <vt:lpstr>c</vt:lpstr>
      <vt:lpstr>gamma</vt:lpstr>
      <vt:lpstr>tau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Michalow</dc:creator>
  <cp:lastModifiedBy>Michalow, Julia</cp:lastModifiedBy>
  <dcterms:created xsi:type="dcterms:W3CDTF">2024-03-13T15:45:27Z</dcterms:created>
  <dcterms:modified xsi:type="dcterms:W3CDTF">2025-07-08T14:30:51Z</dcterms:modified>
</cp:coreProperties>
</file>